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ocuments/GitHub/ST_evaluation_case/output/"/>
    </mc:Choice>
  </mc:AlternateContent>
  <xr:revisionPtr revIDLastSave="0" documentId="8_{6439075F-D0A0-A744-B3A6-3539AED23F28}" xr6:coauthVersionLast="47" xr6:coauthVersionMax="47" xr10:uidLastSave="{00000000-0000-0000-0000-000000000000}"/>
  <bookViews>
    <workbookView xWindow="41320" yWindow="820" windowWidth="38400" windowHeight="19260" xr2:uid="{0A6DAABD-5D8B-AE4A-B4A9-9F57883F7701}"/>
  </bookViews>
  <sheets>
    <sheet name="performance_table_avg" sheetId="1" r:id="rId1"/>
  </sheets>
  <definedNames>
    <definedName name="_xlnm._FilterDatabase" localSheetId="0" hidden="1">performance_table_avg!$A$1:$AN$73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K3" i="1"/>
  <c r="L3" i="1"/>
  <c r="H3" i="1"/>
  <c r="I3" i="1"/>
  <c r="J3" i="1"/>
  <c r="E4" i="1"/>
  <c r="F4" i="1"/>
  <c r="G4" i="1"/>
  <c r="K4" i="1"/>
  <c r="L4" i="1"/>
  <c r="H4" i="1"/>
  <c r="I4" i="1"/>
  <c r="J4" i="1"/>
  <c r="E5" i="1"/>
  <c r="F5" i="1"/>
  <c r="G5" i="1"/>
  <c r="K5" i="1"/>
  <c r="L5" i="1"/>
  <c r="H5" i="1"/>
  <c r="I5" i="1"/>
  <c r="J5" i="1"/>
  <c r="E6" i="1"/>
  <c r="F6" i="1"/>
  <c r="G6" i="1"/>
  <c r="K6" i="1"/>
  <c r="L6" i="1"/>
  <c r="H6" i="1"/>
  <c r="I6" i="1"/>
  <c r="J6" i="1"/>
  <c r="E7" i="1"/>
  <c r="F7" i="1"/>
  <c r="G7" i="1"/>
  <c r="K7" i="1"/>
  <c r="L7" i="1"/>
  <c r="H7" i="1"/>
  <c r="I7" i="1"/>
  <c r="J7" i="1"/>
  <c r="E8" i="1"/>
  <c r="F8" i="1"/>
  <c r="G8" i="1"/>
  <c r="K8" i="1"/>
  <c r="L8" i="1"/>
  <c r="H8" i="1"/>
  <c r="I8" i="1"/>
  <c r="J8" i="1"/>
  <c r="E9" i="1"/>
  <c r="F9" i="1"/>
  <c r="G9" i="1"/>
  <c r="K9" i="1"/>
  <c r="L9" i="1"/>
  <c r="H9" i="1"/>
  <c r="I9" i="1"/>
  <c r="J9" i="1"/>
  <c r="E10" i="1"/>
  <c r="F10" i="1"/>
  <c r="G10" i="1"/>
  <c r="K10" i="1"/>
  <c r="L10" i="1"/>
  <c r="H10" i="1"/>
  <c r="I10" i="1"/>
  <c r="J10" i="1"/>
  <c r="E11" i="1"/>
  <c r="F11" i="1"/>
  <c r="G11" i="1"/>
  <c r="K11" i="1"/>
  <c r="L11" i="1"/>
  <c r="H11" i="1"/>
  <c r="I11" i="1"/>
  <c r="J11" i="1"/>
  <c r="E12" i="1"/>
  <c r="F12" i="1"/>
  <c r="G12" i="1"/>
  <c r="K12" i="1"/>
  <c r="L12" i="1"/>
  <c r="H12" i="1"/>
  <c r="I12" i="1"/>
  <c r="J12" i="1"/>
  <c r="E13" i="1"/>
  <c r="F13" i="1"/>
  <c r="G13" i="1"/>
  <c r="K13" i="1"/>
  <c r="L13" i="1"/>
  <c r="H13" i="1"/>
  <c r="I13" i="1"/>
  <c r="J13" i="1"/>
  <c r="E14" i="1"/>
  <c r="F14" i="1"/>
  <c r="G14" i="1"/>
  <c r="K14" i="1"/>
  <c r="L14" i="1"/>
  <c r="H14" i="1"/>
  <c r="I14" i="1"/>
  <c r="J14" i="1"/>
  <c r="E15" i="1"/>
  <c r="F15" i="1"/>
  <c r="G15" i="1"/>
  <c r="K15" i="1"/>
  <c r="L15" i="1"/>
  <c r="H15" i="1"/>
  <c r="I15" i="1"/>
  <c r="J15" i="1"/>
  <c r="E16" i="1"/>
  <c r="F16" i="1"/>
  <c r="G16" i="1"/>
  <c r="K16" i="1"/>
  <c r="L16" i="1"/>
  <c r="H16" i="1"/>
  <c r="I16" i="1"/>
  <c r="J16" i="1"/>
  <c r="E17" i="1"/>
  <c r="F17" i="1"/>
  <c r="G17" i="1"/>
  <c r="K17" i="1"/>
  <c r="L17" i="1"/>
  <c r="H17" i="1"/>
  <c r="I17" i="1"/>
  <c r="J17" i="1"/>
  <c r="E18" i="1"/>
  <c r="F18" i="1"/>
  <c r="G18" i="1"/>
  <c r="K18" i="1"/>
  <c r="L18" i="1"/>
  <c r="H18" i="1"/>
  <c r="I18" i="1"/>
  <c r="J18" i="1"/>
  <c r="E19" i="1"/>
  <c r="F19" i="1"/>
  <c r="G19" i="1"/>
  <c r="K19" i="1"/>
  <c r="L19" i="1"/>
  <c r="H19" i="1"/>
  <c r="I19" i="1"/>
  <c r="J19" i="1"/>
  <c r="E20" i="1"/>
  <c r="F20" i="1"/>
  <c r="G20" i="1"/>
  <c r="K20" i="1"/>
  <c r="L20" i="1"/>
  <c r="H20" i="1"/>
  <c r="I20" i="1"/>
  <c r="J20" i="1"/>
  <c r="E21" i="1"/>
  <c r="F21" i="1"/>
  <c r="G21" i="1"/>
  <c r="K21" i="1"/>
  <c r="L21" i="1"/>
  <c r="H21" i="1"/>
  <c r="I21" i="1"/>
  <c r="J21" i="1"/>
  <c r="E22" i="1"/>
  <c r="F22" i="1"/>
  <c r="G22" i="1"/>
  <c r="K22" i="1"/>
  <c r="L22" i="1"/>
  <c r="H22" i="1"/>
  <c r="I22" i="1"/>
  <c r="J22" i="1"/>
  <c r="E23" i="1"/>
  <c r="F23" i="1"/>
  <c r="G23" i="1"/>
  <c r="K23" i="1"/>
  <c r="L23" i="1"/>
  <c r="H23" i="1"/>
  <c r="I23" i="1"/>
  <c r="J23" i="1"/>
  <c r="E24" i="1"/>
  <c r="F24" i="1"/>
  <c r="G24" i="1"/>
  <c r="K24" i="1"/>
  <c r="L24" i="1"/>
  <c r="H24" i="1"/>
  <c r="I24" i="1"/>
  <c r="J24" i="1"/>
  <c r="E25" i="1"/>
  <c r="F25" i="1"/>
  <c r="G25" i="1"/>
  <c r="K25" i="1"/>
  <c r="L25" i="1"/>
  <c r="H25" i="1"/>
  <c r="I25" i="1"/>
  <c r="J25" i="1"/>
  <c r="E26" i="1"/>
  <c r="F26" i="1"/>
  <c r="G26" i="1"/>
  <c r="K26" i="1"/>
  <c r="L26" i="1"/>
  <c r="H26" i="1"/>
  <c r="I26" i="1"/>
  <c r="J26" i="1"/>
  <c r="E27" i="1"/>
  <c r="F27" i="1"/>
  <c r="G27" i="1"/>
  <c r="K27" i="1"/>
  <c r="L27" i="1"/>
  <c r="H27" i="1"/>
  <c r="I27" i="1"/>
  <c r="J27" i="1"/>
  <c r="E28" i="1"/>
  <c r="F28" i="1"/>
  <c r="G28" i="1"/>
  <c r="K28" i="1"/>
  <c r="L28" i="1"/>
  <c r="H28" i="1"/>
  <c r="I28" i="1"/>
  <c r="J28" i="1"/>
  <c r="E29" i="1"/>
  <c r="F29" i="1"/>
  <c r="G29" i="1"/>
  <c r="K29" i="1"/>
  <c r="L29" i="1"/>
  <c r="H29" i="1"/>
  <c r="I29" i="1"/>
  <c r="J29" i="1"/>
  <c r="E30" i="1"/>
  <c r="F30" i="1"/>
  <c r="G30" i="1"/>
  <c r="K30" i="1"/>
  <c r="L30" i="1"/>
  <c r="H30" i="1"/>
  <c r="I30" i="1"/>
  <c r="J30" i="1"/>
  <c r="E31" i="1"/>
  <c r="F31" i="1"/>
  <c r="G31" i="1"/>
  <c r="K31" i="1"/>
  <c r="L31" i="1"/>
  <c r="H31" i="1"/>
  <c r="I31" i="1"/>
  <c r="J31" i="1"/>
  <c r="E32" i="1"/>
  <c r="F32" i="1"/>
  <c r="G32" i="1"/>
  <c r="K32" i="1"/>
  <c r="L32" i="1"/>
  <c r="H32" i="1"/>
  <c r="I32" i="1"/>
  <c r="J32" i="1"/>
  <c r="E33" i="1"/>
  <c r="F33" i="1"/>
  <c r="G33" i="1"/>
  <c r="K33" i="1"/>
  <c r="L33" i="1"/>
  <c r="H33" i="1"/>
  <c r="I33" i="1"/>
  <c r="J33" i="1"/>
  <c r="E34" i="1"/>
  <c r="F34" i="1"/>
  <c r="G34" i="1"/>
  <c r="K34" i="1"/>
  <c r="L34" i="1"/>
  <c r="H34" i="1"/>
  <c r="I34" i="1"/>
  <c r="J34" i="1"/>
  <c r="E35" i="1"/>
  <c r="F35" i="1"/>
  <c r="G35" i="1"/>
  <c r="K35" i="1"/>
  <c r="L35" i="1"/>
  <c r="H35" i="1"/>
  <c r="I35" i="1"/>
  <c r="J35" i="1"/>
  <c r="E36" i="1"/>
  <c r="F36" i="1"/>
  <c r="G36" i="1"/>
  <c r="K36" i="1"/>
  <c r="L36" i="1"/>
  <c r="H36" i="1"/>
  <c r="I36" i="1"/>
  <c r="J36" i="1"/>
  <c r="E37" i="1"/>
  <c r="F37" i="1"/>
  <c r="G37" i="1"/>
  <c r="K37" i="1"/>
  <c r="L37" i="1"/>
  <c r="H37" i="1"/>
  <c r="I37" i="1"/>
  <c r="J37" i="1"/>
  <c r="E38" i="1"/>
  <c r="F38" i="1"/>
  <c r="G38" i="1"/>
  <c r="K38" i="1"/>
  <c r="L38" i="1"/>
  <c r="H38" i="1"/>
  <c r="I38" i="1"/>
  <c r="J38" i="1"/>
  <c r="E39" i="1"/>
  <c r="F39" i="1"/>
  <c r="G39" i="1"/>
  <c r="K39" i="1"/>
  <c r="L39" i="1"/>
  <c r="H39" i="1"/>
  <c r="I39" i="1"/>
  <c r="J39" i="1"/>
  <c r="E40" i="1"/>
  <c r="F40" i="1"/>
  <c r="G40" i="1"/>
  <c r="K40" i="1"/>
  <c r="L40" i="1"/>
  <c r="H40" i="1"/>
  <c r="I40" i="1"/>
  <c r="J40" i="1"/>
  <c r="E41" i="1"/>
  <c r="F41" i="1"/>
  <c r="G41" i="1"/>
  <c r="K41" i="1"/>
  <c r="L41" i="1"/>
  <c r="H41" i="1"/>
  <c r="I41" i="1"/>
  <c r="J41" i="1"/>
  <c r="E42" i="1"/>
  <c r="F42" i="1"/>
  <c r="G42" i="1"/>
  <c r="K42" i="1"/>
  <c r="L42" i="1"/>
  <c r="H42" i="1"/>
  <c r="I42" i="1"/>
  <c r="J42" i="1"/>
  <c r="E43" i="1"/>
  <c r="F43" i="1"/>
  <c r="G43" i="1"/>
  <c r="K43" i="1"/>
  <c r="L43" i="1"/>
  <c r="H43" i="1"/>
  <c r="I43" i="1"/>
  <c r="J43" i="1"/>
  <c r="E44" i="1"/>
  <c r="F44" i="1"/>
  <c r="G44" i="1"/>
  <c r="K44" i="1"/>
  <c r="L44" i="1"/>
  <c r="H44" i="1"/>
  <c r="I44" i="1"/>
  <c r="J44" i="1"/>
  <c r="E45" i="1"/>
  <c r="F45" i="1"/>
  <c r="G45" i="1"/>
  <c r="K45" i="1"/>
  <c r="L45" i="1"/>
  <c r="H45" i="1"/>
  <c r="I45" i="1"/>
  <c r="J45" i="1"/>
  <c r="E46" i="1"/>
  <c r="F46" i="1"/>
  <c r="G46" i="1"/>
  <c r="K46" i="1"/>
  <c r="L46" i="1"/>
  <c r="H46" i="1"/>
  <c r="I46" i="1"/>
  <c r="J46" i="1"/>
  <c r="E47" i="1"/>
  <c r="F47" i="1"/>
  <c r="G47" i="1"/>
  <c r="K47" i="1"/>
  <c r="L47" i="1"/>
  <c r="H47" i="1"/>
  <c r="I47" i="1"/>
  <c r="J47" i="1"/>
  <c r="E48" i="1"/>
  <c r="F48" i="1"/>
  <c r="G48" i="1"/>
  <c r="K48" i="1"/>
  <c r="L48" i="1"/>
  <c r="H48" i="1"/>
  <c r="I48" i="1"/>
  <c r="J48" i="1"/>
  <c r="E49" i="1"/>
  <c r="F49" i="1"/>
  <c r="G49" i="1"/>
  <c r="K49" i="1"/>
  <c r="L49" i="1"/>
  <c r="H49" i="1"/>
  <c r="I49" i="1"/>
  <c r="J49" i="1"/>
  <c r="E50" i="1"/>
  <c r="F50" i="1"/>
  <c r="G50" i="1"/>
  <c r="K50" i="1"/>
  <c r="L50" i="1"/>
  <c r="H50" i="1"/>
  <c r="I50" i="1"/>
  <c r="J50" i="1"/>
  <c r="E51" i="1"/>
  <c r="F51" i="1"/>
  <c r="G51" i="1"/>
  <c r="K51" i="1"/>
  <c r="L51" i="1"/>
  <c r="H51" i="1"/>
  <c r="I51" i="1"/>
  <c r="J51" i="1"/>
  <c r="E52" i="1"/>
  <c r="F52" i="1"/>
  <c r="G52" i="1"/>
  <c r="K52" i="1"/>
  <c r="L52" i="1"/>
  <c r="H52" i="1"/>
  <c r="I52" i="1"/>
  <c r="J52" i="1"/>
  <c r="E53" i="1"/>
  <c r="F53" i="1"/>
  <c r="G53" i="1"/>
  <c r="K53" i="1"/>
  <c r="L53" i="1"/>
  <c r="H53" i="1"/>
  <c r="I53" i="1"/>
  <c r="J53" i="1"/>
  <c r="E54" i="1"/>
  <c r="F54" i="1"/>
  <c r="G54" i="1"/>
  <c r="K54" i="1"/>
  <c r="L54" i="1"/>
  <c r="H54" i="1"/>
  <c r="I54" i="1"/>
  <c r="J54" i="1"/>
  <c r="E55" i="1"/>
  <c r="F55" i="1"/>
  <c r="G55" i="1"/>
  <c r="K55" i="1"/>
  <c r="L55" i="1"/>
  <c r="H55" i="1"/>
  <c r="I55" i="1"/>
  <c r="J55" i="1"/>
  <c r="E56" i="1"/>
  <c r="F56" i="1"/>
  <c r="G56" i="1"/>
  <c r="K56" i="1"/>
  <c r="L56" i="1"/>
  <c r="H56" i="1"/>
  <c r="I56" i="1"/>
  <c r="J56" i="1"/>
  <c r="E57" i="1"/>
  <c r="F57" i="1"/>
  <c r="G57" i="1"/>
  <c r="K57" i="1"/>
  <c r="L57" i="1"/>
  <c r="H57" i="1"/>
  <c r="I57" i="1"/>
  <c r="J57" i="1"/>
  <c r="E58" i="1"/>
  <c r="F58" i="1"/>
  <c r="G58" i="1"/>
  <c r="K58" i="1"/>
  <c r="L58" i="1"/>
  <c r="H58" i="1"/>
  <c r="I58" i="1"/>
  <c r="J58" i="1"/>
  <c r="E59" i="1"/>
  <c r="F59" i="1"/>
  <c r="G59" i="1"/>
  <c r="K59" i="1"/>
  <c r="L59" i="1"/>
  <c r="H59" i="1"/>
  <c r="I59" i="1"/>
  <c r="J59" i="1"/>
  <c r="E60" i="1"/>
  <c r="F60" i="1"/>
  <c r="G60" i="1"/>
  <c r="K60" i="1"/>
  <c r="L60" i="1"/>
  <c r="H60" i="1"/>
  <c r="I60" i="1"/>
  <c r="J60" i="1"/>
  <c r="E61" i="1"/>
  <c r="F61" i="1"/>
  <c r="G61" i="1"/>
  <c r="K61" i="1"/>
  <c r="L61" i="1"/>
  <c r="H61" i="1"/>
  <c r="I61" i="1"/>
  <c r="J61" i="1"/>
  <c r="E62" i="1"/>
  <c r="F62" i="1"/>
  <c r="G62" i="1"/>
  <c r="K62" i="1"/>
  <c r="L62" i="1"/>
  <c r="H62" i="1"/>
  <c r="I62" i="1"/>
  <c r="J62" i="1"/>
  <c r="E63" i="1"/>
  <c r="F63" i="1"/>
  <c r="G63" i="1"/>
  <c r="K63" i="1"/>
  <c r="L63" i="1"/>
  <c r="H63" i="1"/>
  <c r="I63" i="1"/>
  <c r="J63" i="1"/>
  <c r="E64" i="1"/>
  <c r="F64" i="1"/>
  <c r="G64" i="1"/>
  <c r="K64" i="1"/>
  <c r="L64" i="1"/>
  <c r="H64" i="1"/>
  <c r="I64" i="1"/>
  <c r="J64" i="1"/>
  <c r="E65" i="1"/>
  <c r="F65" i="1"/>
  <c r="G65" i="1"/>
  <c r="K65" i="1"/>
  <c r="L65" i="1"/>
  <c r="H65" i="1"/>
  <c r="I65" i="1"/>
  <c r="J65" i="1"/>
  <c r="E66" i="1"/>
  <c r="F66" i="1"/>
  <c r="G66" i="1"/>
  <c r="K66" i="1"/>
  <c r="L66" i="1"/>
  <c r="H66" i="1"/>
  <c r="I66" i="1"/>
  <c r="J66" i="1"/>
  <c r="E67" i="1"/>
  <c r="F67" i="1"/>
  <c r="G67" i="1"/>
  <c r="K67" i="1"/>
  <c r="L67" i="1"/>
  <c r="H67" i="1"/>
  <c r="I67" i="1"/>
  <c r="J67" i="1"/>
  <c r="E68" i="1"/>
  <c r="F68" i="1"/>
  <c r="G68" i="1"/>
  <c r="K68" i="1"/>
  <c r="L68" i="1"/>
  <c r="H68" i="1"/>
  <c r="I68" i="1"/>
  <c r="J68" i="1"/>
  <c r="E69" i="1"/>
  <c r="F69" i="1"/>
  <c r="G69" i="1"/>
  <c r="K69" i="1"/>
  <c r="L69" i="1"/>
  <c r="H69" i="1"/>
  <c r="I69" i="1"/>
  <c r="J69" i="1"/>
  <c r="E70" i="1"/>
  <c r="F70" i="1"/>
  <c r="G70" i="1"/>
  <c r="K70" i="1"/>
  <c r="L70" i="1"/>
  <c r="H70" i="1"/>
  <c r="I70" i="1"/>
  <c r="J70" i="1"/>
  <c r="E71" i="1"/>
  <c r="F71" i="1"/>
  <c r="G71" i="1"/>
  <c r="K71" i="1"/>
  <c r="L71" i="1"/>
  <c r="H71" i="1"/>
  <c r="I71" i="1"/>
  <c r="J71" i="1"/>
  <c r="E72" i="1"/>
  <c r="F72" i="1"/>
  <c r="G72" i="1"/>
  <c r="K72" i="1"/>
  <c r="L72" i="1"/>
  <c r="H72" i="1"/>
  <c r="I72" i="1"/>
  <c r="J72" i="1"/>
  <c r="E73" i="1"/>
  <c r="F73" i="1"/>
  <c r="G73" i="1"/>
  <c r="K73" i="1"/>
  <c r="L73" i="1"/>
  <c r="H73" i="1"/>
  <c r="I73" i="1"/>
  <c r="J73" i="1"/>
  <c r="J2" i="1"/>
  <c r="H2" i="1"/>
  <c r="I2" i="1"/>
  <c r="G2" i="1"/>
  <c r="F2" i="1"/>
  <c r="K2" i="1"/>
  <c r="L2" i="1"/>
  <c r="E2" i="1"/>
</calcChain>
</file>

<file path=xl/sharedStrings.xml><?xml version="1.0" encoding="utf-8"?>
<sst xmlns="http://schemas.openxmlformats.org/spreadsheetml/2006/main" count="314" uniqueCount="94">
  <si>
    <t>nc</t>
  </si>
  <si>
    <t>dgp</t>
  </si>
  <si>
    <t>model</t>
  </si>
  <si>
    <t>s</t>
  </si>
  <si>
    <t>diff</t>
  </si>
  <si>
    <t>abs_diff</t>
  </si>
  <si>
    <t>sq_diff</t>
  </si>
  <si>
    <t>rel_diff</t>
  </si>
  <si>
    <t>abs_rel_diff</t>
  </si>
  <si>
    <t>sq_rel_diff</t>
  </si>
  <si>
    <t>deviance</t>
  </si>
  <si>
    <t>crps</t>
  </si>
  <si>
    <t>cvg</t>
  </si>
  <si>
    <t>intv</t>
  </si>
  <si>
    <t>pcor</t>
  </si>
  <si>
    <t>scor</t>
  </si>
  <si>
    <t>diff_sd</t>
  </si>
  <si>
    <t>abs_diff_sd</t>
  </si>
  <si>
    <t>sq_diff_sd</t>
  </si>
  <si>
    <t>rel_diff_sd</t>
  </si>
  <si>
    <t>abs_rel_diff_sd</t>
  </si>
  <si>
    <t>sq_rel_diff_sd</t>
  </si>
  <si>
    <t>deviance_sd</t>
  </si>
  <si>
    <t>crps_sd</t>
  </si>
  <si>
    <t>cvg_sd</t>
  </si>
  <si>
    <t>intv_sd</t>
  </si>
  <si>
    <t>pcor_sd</t>
  </si>
  <si>
    <t>scor_sd</t>
  </si>
  <si>
    <t>se_diff</t>
  </si>
  <si>
    <t>se_rel_diff</t>
  </si>
  <si>
    <t>NonCore</t>
  </si>
  <si>
    <t>MAR</t>
  </si>
  <si>
    <t>TWFE</t>
  </si>
  <si>
    <t>−0.004</t>
  </si>
  <si>
    <t>−0.014</t>
  </si>
  <si>
    <t>ETWFE</t>
  </si>
  <si>
    <t>RW</t>
  </si>
  <si>
    <t>RW-IID</t>
  </si>
  <si>
    <t>RW-ST</t>
  </si>
  <si>
    <t>GB-Ens</t>
  </si>
  <si>
    <t>−0.003</t>
  </si>
  <si>
    <t>−0.011</t>
  </si>
  <si>
    <t>−0.045</t>
  </si>
  <si>
    <t>−0.021</t>
  </si>
  <si>
    <t>−0.041</t>
  </si>
  <si>
    <t>−0.001</t>
  </si>
  <si>
    <t>−0.009</t>
  </si>
  <si>
    <t>−0.058</t>
  </si>
  <si>
    <t>−0.096</t>
  </si>
  <si>
    <t>−0.061</t>
  </si>
  <si>
    <t>−0.067</t>
  </si>
  <si>
    <t>−0.013</t>
  </si>
  <si>
    <t>−0.008</t>
  </si>
  <si>
    <t>−0.006</t>
  </si>
  <si>
    <t>−0.015</t>
  </si>
  <si>
    <t>−0.092</t>
  </si>
  <si>
    <t>−0.064</t>
  </si>
  <si>
    <t>Latent level</t>
  </si>
  <si>
    <t>−0.052</t>
  </si>
  <si>
    <t>−0.048</t>
  </si>
  <si>
    <t>−0.203</t>
  </si>
  <si>
    <t>−0.137</t>
  </si>
  <si>
    <t>Latent trend</t>
  </si>
  <si>
    <t>−0.002</t>
  </si>
  <si>
    <t>−0.027</t>
  </si>
  <si>
    <t>−0.082</t>
  </si>
  <si>
    <t>−0.059</t>
  </si>
  <si>
    <t>Core</t>
  </si>
  <si>
    <t>−0.033</t>
  </si>
  <si>
    <t>−0.170</t>
  </si>
  <si>
    <t>−0.128</t>
  </si>
  <si>
    <t>−0.154</t>
  </si>
  <si>
    <t>−0.117</t>
  </si>
  <si>
    <t>−0.069</t>
  </si>
  <si>
    <t>−0.056</t>
  </si>
  <si>
    <t>−0.100</t>
  </si>
  <si>
    <t>−1.061</t>
  </si>
  <si>
    <t>−0.142</t>
  </si>
  <si>
    <t>−0.983</t>
  </si>
  <si>
    <t>−0.132</t>
  </si>
  <si>
    <t>−0.423</t>
  </si>
  <si>
    <t>−0.062</t>
  </si>
  <si>
    <t>−0.047</t>
  </si>
  <si>
    <t>−0.044</t>
  </si>
  <si>
    <t>−0.040</t>
  </si>
  <si>
    <t>−0.342</t>
  </si>
  <si>
    <t>−0.249</t>
  </si>
  <si>
    <t>−0.148</t>
  </si>
  <si>
    <t>Bias</t>
  </si>
  <si>
    <t>MAE </t>
  </si>
  <si>
    <t>RMSE</t>
  </si>
  <si>
    <t>CRPS</t>
  </si>
  <si>
    <t>Coverage</t>
  </si>
  <si>
    <t>Interval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</si>
</sst>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right" wrapText="1"/>
    </xf>
    <xf numFmtId="169" fontId="18" fillId="33" borderId="0" xfId="0" applyNumberFormat="1" applyFont="1" applyFill="1" applyAlignment="1">
      <alignment horizontal="right" wrapText="1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right" wrapText="1"/>
    </xf>
    <xf numFmtId="169" fontId="18" fillId="33" borderId="1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62E1-DF1D-DC4A-926E-2EDF5FF1E3A1}">
  <dimension ref="A1:AN73"/>
  <sheetViews>
    <sheetView showGridLines="0" tabSelected="1" topLeftCell="A53" workbookViewId="0">
      <selection activeCell="E62" sqref="E62:L73"/>
    </sheetView>
  </sheetViews>
  <sheetFormatPr baseColWidth="10" defaultRowHeight="16" x14ac:dyDescent="0.2"/>
  <cols>
    <col min="1" max="1" width="7" style="1" bestFit="1" customWidth="1"/>
    <col min="2" max="2" width="9.33203125" style="1" bestFit="1" customWidth="1"/>
    <col min="3" max="3" width="6" style="1" bestFit="1" customWidth="1"/>
    <col min="4" max="4" width="2" style="1" bestFit="1" customWidth="1"/>
    <col min="5" max="14" width="6.83203125" style="1" customWidth="1"/>
    <col min="15" max="15" width="5.83203125" style="1" bestFit="1" customWidth="1"/>
    <col min="16" max="16" width="6.6640625" style="1" bestFit="1" customWidth="1"/>
    <col min="17" max="17" width="5.83203125" style="1" bestFit="1" customWidth="1"/>
    <col min="18" max="18" width="6" style="1" bestFit="1" customWidth="1"/>
    <col min="19" max="19" width="9.1640625" style="1" bestFit="1" customWidth="1"/>
    <col min="20" max="20" width="8.33203125" style="1" bestFit="1" customWidth="1"/>
    <col min="21" max="21" width="7.33203125" style="1" bestFit="1" customWidth="1"/>
    <col min="22" max="26" width="5.33203125" style="1" bestFit="1" customWidth="1"/>
    <col min="27" max="27" width="5.83203125" style="1" bestFit="1" customWidth="1"/>
    <col min="28" max="28" width="9" style="1" bestFit="1" customWidth="1"/>
    <col min="29" max="29" width="8.1640625" style="1" bestFit="1" customWidth="1"/>
    <col min="30" max="30" width="8.33203125" style="1" bestFit="1" customWidth="1"/>
    <col min="31" max="31" width="11.5" style="1" bestFit="1" customWidth="1"/>
    <col min="32" max="32" width="10.6640625" style="1" bestFit="1" customWidth="1"/>
    <col min="33" max="33" width="9.6640625" style="1" bestFit="1" customWidth="1"/>
    <col min="34" max="34" width="6.5" style="1" bestFit="1" customWidth="1"/>
    <col min="35" max="35" width="5.83203125" style="1" bestFit="1" customWidth="1"/>
    <col min="36" max="36" width="6.1640625" style="1" bestFit="1" customWidth="1"/>
    <col min="37" max="38" width="6.5" style="1" bestFit="1" customWidth="1"/>
    <col min="39" max="39" width="5.83203125" style="1" bestFit="1" customWidth="1"/>
    <col min="40" max="40" width="8.33203125" style="1" bestFit="1" customWidth="1"/>
    <col min="41" max="16384" width="10.83203125" style="1"/>
  </cols>
  <sheetData>
    <row r="1" spans="1:40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88</v>
      </c>
      <c r="L1" s="2" t="s">
        <v>89</v>
      </c>
      <c r="M1" s="2"/>
      <c r="N1" s="2"/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</row>
    <row r="2" spans="1:40" ht="30" x14ac:dyDescent="0.2">
      <c r="A2" s="3" t="s">
        <v>30</v>
      </c>
      <c r="B2" s="3" t="s">
        <v>31</v>
      </c>
      <c r="C2" s="3" t="s">
        <v>32</v>
      </c>
      <c r="D2" s="3">
        <v>0</v>
      </c>
      <c r="E2" s="4" t="str">
        <f>TEXT(O2,"0.000")&amp;"
("&amp;TEXT(AA2,"0.000")&amp;")"</f>
        <v>−0.004
(0.074)</v>
      </c>
      <c r="F2" s="4" t="str">
        <f t="shared" ref="F2" si="0">TEXT(P2,"0.000")&amp;"
("&amp;TEXT(AB2,"0.000")&amp;")"</f>
        <v>0.057
(0.046)</v>
      </c>
      <c r="G2" s="5">
        <f>SQRT(Q2)</f>
        <v>7.0710678118654752E-2</v>
      </c>
      <c r="H2" s="5">
        <f>+V2</f>
        <v>4.1000000000000002E-2</v>
      </c>
      <c r="I2" s="5">
        <f>+W2</f>
        <v>0.94</v>
      </c>
      <c r="J2" s="5">
        <f>+X2</f>
        <v>0.378</v>
      </c>
      <c r="K2" s="4" t="str">
        <f>TEXT(R2,"0.000")&amp;"
("&amp;TEXT(AD2,"0.000")&amp;")"</f>
        <v>−0.014
(0.267)</v>
      </c>
      <c r="L2" s="4" t="str">
        <f>TEXT(S2,"0.000")&amp;"
("&amp;TEXT(AE2,"0.000")&amp;")"</f>
        <v>0.208
(0.167)</v>
      </c>
      <c r="M2" s="4"/>
      <c r="N2" s="4"/>
      <c r="O2" s="3" t="s">
        <v>33</v>
      </c>
      <c r="P2" s="3">
        <v>5.7000000000000002E-2</v>
      </c>
      <c r="Q2" s="3">
        <v>5.0000000000000001E-3</v>
      </c>
      <c r="R2" s="3" t="s">
        <v>34</v>
      </c>
      <c r="S2" s="3">
        <v>0.20799999999999999</v>
      </c>
      <c r="T2" s="3">
        <v>7.0999999999999994E-2</v>
      </c>
      <c r="U2" s="3">
        <v>0.02</v>
      </c>
      <c r="V2" s="3">
        <v>4.1000000000000002E-2</v>
      </c>
      <c r="W2" s="3">
        <v>0.94</v>
      </c>
      <c r="X2" s="3">
        <v>0.378</v>
      </c>
      <c r="Y2" s="3">
        <v>0.17699999999999999</v>
      </c>
      <c r="Z2" s="3">
        <v>0.20100000000000001</v>
      </c>
      <c r="AA2" s="3">
        <v>7.3999999999999996E-2</v>
      </c>
      <c r="AB2" s="3">
        <v>4.5999999999999999E-2</v>
      </c>
      <c r="AC2" s="3">
        <v>8.9999999999999993E-3</v>
      </c>
      <c r="AD2" s="3">
        <v>0.26700000000000002</v>
      </c>
      <c r="AE2" s="3">
        <v>0.16700000000000001</v>
      </c>
      <c r="AF2" s="3">
        <v>0.107</v>
      </c>
      <c r="AG2" s="3">
        <v>3.3000000000000002E-2</v>
      </c>
      <c r="AH2" s="3">
        <v>3.3000000000000002E-2</v>
      </c>
      <c r="AI2" s="3">
        <v>0.23799999999999999</v>
      </c>
      <c r="AJ2" s="3">
        <v>0.56100000000000005</v>
      </c>
      <c r="AK2" s="3">
        <v>0.127</v>
      </c>
      <c r="AL2" s="3">
        <v>0.111</v>
      </c>
      <c r="AM2" s="3">
        <v>7.3999999999999996E-2</v>
      </c>
      <c r="AN2" s="3">
        <v>0.26600000000000001</v>
      </c>
    </row>
    <row r="3" spans="1:40" ht="30" x14ac:dyDescent="0.2">
      <c r="A3" s="3" t="s">
        <v>30</v>
      </c>
      <c r="B3" s="3" t="s">
        <v>31</v>
      </c>
      <c r="C3" s="3" t="s">
        <v>35</v>
      </c>
      <c r="D3" s="3">
        <v>0</v>
      </c>
      <c r="E3" s="4" t="str">
        <f>TEXT(O3,"0.000")&amp;"
("&amp;TEXT(AA3,"0.000")&amp;")"</f>
        <v>0.004
(0.072)</v>
      </c>
      <c r="F3" s="4" t="str">
        <f>TEXT(P3,"0.000")&amp;"
("&amp;TEXT(AB3,"0.000")&amp;")"</f>
        <v>0.055
(0.046)</v>
      </c>
      <c r="G3" s="5">
        <f>SQRT(Q3)</f>
        <v>7.0710678118654752E-2</v>
      </c>
      <c r="H3" s="5">
        <f>+V3</f>
        <v>0.04</v>
      </c>
      <c r="I3" s="5">
        <f>+W3</f>
        <v>0.95</v>
      </c>
      <c r="J3" s="5">
        <f>+X3</f>
        <v>0.36799999999999999</v>
      </c>
      <c r="K3" s="4" t="str">
        <f>TEXT(R3,"0.000")&amp;"
("&amp;TEXT(AD3,"0.000")&amp;")"</f>
        <v>0.016
(0.272)</v>
      </c>
      <c r="L3" s="4" t="str">
        <f>TEXT(S3,"0.000")&amp;"
("&amp;TEXT(AE3,"0.000")&amp;")"</f>
        <v>0.209
(0.175)</v>
      </c>
      <c r="M3" s="3"/>
      <c r="N3" s="3"/>
      <c r="O3" s="3">
        <v>4.0000000000000001E-3</v>
      </c>
      <c r="P3" s="3">
        <v>5.5E-2</v>
      </c>
      <c r="Q3" s="3">
        <v>5.0000000000000001E-3</v>
      </c>
      <c r="R3" s="3">
        <v>1.6E-2</v>
      </c>
      <c r="S3" s="3">
        <v>0.20899999999999999</v>
      </c>
      <c r="T3" s="3">
        <v>7.3999999999999996E-2</v>
      </c>
      <c r="U3" s="3">
        <v>1.9E-2</v>
      </c>
      <c r="V3" s="3">
        <v>0.04</v>
      </c>
      <c r="W3" s="3">
        <v>0.95</v>
      </c>
      <c r="X3" s="3">
        <v>0.36799999999999999</v>
      </c>
      <c r="Y3" s="3">
        <v>0.26800000000000002</v>
      </c>
      <c r="Z3" s="3">
        <v>0.26300000000000001</v>
      </c>
      <c r="AA3" s="3">
        <v>7.1999999999999995E-2</v>
      </c>
      <c r="AB3" s="3">
        <v>4.5999999999999999E-2</v>
      </c>
      <c r="AC3" s="3">
        <v>8.0000000000000002E-3</v>
      </c>
      <c r="AD3" s="3">
        <v>0.27200000000000002</v>
      </c>
      <c r="AE3" s="3">
        <v>0.17499999999999999</v>
      </c>
      <c r="AF3" s="3">
        <v>0.122</v>
      </c>
      <c r="AG3" s="3">
        <v>3.1E-2</v>
      </c>
      <c r="AH3" s="3">
        <v>3.2000000000000001E-2</v>
      </c>
      <c r="AI3" s="3">
        <v>0.218</v>
      </c>
      <c r="AJ3" s="3">
        <v>0.54300000000000004</v>
      </c>
      <c r="AK3" s="3">
        <v>0.126</v>
      </c>
      <c r="AL3" s="3">
        <v>0.109</v>
      </c>
      <c r="AM3" s="3">
        <v>7.1999999999999995E-2</v>
      </c>
      <c r="AN3" s="3">
        <v>0.27200000000000002</v>
      </c>
    </row>
    <row r="4" spans="1:40" ht="30" x14ac:dyDescent="0.2">
      <c r="A4" s="3" t="s">
        <v>30</v>
      </c>
      <c r="B4" s="3" t="s">
        <v>31</v>
      </c>
      <c r="C4" s="3" t="s">
        <v>36</v>
      </c>
      <c r="D4" s="3">
        <v>0</v>
      </c>
      <c r="E4" s="4" t="str">
        <f>TEXT(O4,"0.000")&amp;"
("&amp;TEXT(AA4,"0.000")&amp;")"</f>
        <v>0.017
(0.071)</v>
      </c>
      <c r="F4" s="4" t="str">
        <f>TEXT(P4,"0.000")&amp;"
("&amp;TEXT(AB4,"0.000")&amp;")"</f>
        <v>0.056
(0.046)</v>
      </c>
      <c r="G4" s="5">
        <f>SQRT(Q4)</f>
        <v>7.0710678118654752E-2</v>
      </c>
      <c r="H4" s="5">
        <f>+V4</f>
        <v>4.1000000000000002E-2</v>
      </c>
      <c r="I4" s="5">
        <f>+W4</f>
        <v>0.93500000000000005</v>
      </c>
      <c r="J4" s="5">
        <f>+X4</f>
        <v>0.378</v>
      </c>
      <c r="K4" s="4" t="str">
        <f>TEXT(R4,"0.000")&amp;"
("&amp;TEXT(AD4,"0.000")&amp;")"</f>
        <v>0.066
(0.283)</v>
      </c>
      <c r="L4" s="4" t="str">
        <f>TEXT(S4,"0.000")&amp;"
("&amp;TEXT(AE4,"0.000")&amp;")"</f>
        <v>0.222
(0.186)</v>
      </c>
      <c r="M4" s="3"/>
      <c r="N4" s="3"/>
      <c r="O4" s="3">
        <v>1.7000000000000001E-2</v>
      </c>
      <c r="P4" s="3">
        <v>5.6000000000000001E-2</v>
      </c>
      <c r="Q4" s="3">
        <v>5.0000000000000001E-3</v>
      </c>
      <c r="R4" s="3">
        <v>6.6000000000000003E-2</v>
      </c>
      <c r="S4" s="3">
        <v>0.222</v>
      </c>
      <c r="T4" s="3">
        <v>8.4000000000000005E-2</v>
      </c>
      <c r="U4" s="3">
        <v>0.02</v>
      </c>
      <c r="V4" s="3">
        <v>4.1000000000000002E-2</v>
      </c>
      <c r="W4" s="3">
        <v>0.93500000000000005</v>
      </c>
      <c r="X4" s="3">
        <v>0.378</v>
      </c>
      <c r="Y4" s="3">
        <v>0.27400000000000002</v>
      </c>
      <c r="Z4" s="3">
        <v>0.27</v>
      </c>
      <c r="AA4" s="3">
        <v>7.0999999999999994E-2</v>
      </c>
      <c r="AB4" s="3">
        <v>4.5999999999999999E-2</v>
      </c>
      <c r="AC4" s="3">
        <v>8.9999999999999993E-3</v>
      </c>
      <c r="AD4" s="3">
        <v>0.28299999999999997</v>
      </c>
      <c r="AE4" s="3">
        <v>0.186</v>
      </c>
      <c r="AF4" s="3">
        <v>0.13900000000000001</v>
      </c>
      <c r="AG4" s="3">
        <v>3.1E-2</v>
      </c>
      <c r="AH4" s="3">
        <v>3.4000000000000002E-2</v>
      </c>
      <c r="AI4" s="3">
        <v>0.247</v>
      </c>
      <c r="AJ4" s="3">
        <v>0.60899999999999999</v>
      </c>
      <c r="AK4" s="3">
        <v>0.127</v>
      </c>
      <c r="AL4" s="3">
        <v>0.11</v>
      </c>
      <c r="AM4" s="3">
        <v>7.2999999999999995E-2</v>
      </c>
      <c r="AN4" s="3">
        <v>0.28899999999999998</v>
      </c>
    </row>
    <row r="5" spans="1:40" ht="30" x14ac:dyDescent="0.2">
      <c r="A5" s="3" t="s">
        <v>30</v>
      </c>
      <c r="B5" s="3" t="s">
        <v>31</v>
      </c>
      <c r="C5" s="3" t="s">
        <v>37</v>
      </c>
      <c r="D5" s="3">
        <v>0</v>
      </c>
      <c r="E5" s="4" t="str">
        <f>TEXT(O5,"0.000")&amp;"
("&amp;TEXT(AA5,"0.000")&amp;")"</f>
        <v>0.013
(0.071)</v>
      </c>
      <c r="F5" s="4" t="str">
        <f>TEXT(P5,"0.000")&amp;"
("&amp;TEXT(AB5,"0.000")&amp;")"</f>
        <v>0.055
(0.047)</v>
      </c>
      <c r="G5" s="5">
        <f>SQRT(Q5)</f>
        <v>7.0710678118654752E-2</v>
      </c>
      <c r="H5" s="5">
        <f>+V5</f>
        <v>0.04</v>
      </c>
      <c r="I5" s="5">
        <f>+W5</f>
        <v>0.93500000000000005</v>
      </c>
      <c r="J5" s="5">
        <f>+X5</f>
        <v>0.36799999999999999</v>
      </c>
      <c r="K5" s="4" t="str">
        <f>TEXT(R5,"0.000")&amp;"
("&amp;TEXT(AD5,"0.000")&amp;")"</f>
        <v>0.050
(0.277)</v>
      </c>
      <c r="L5" s="4" t="str">
        <f>TEXT(S5,"0.000")&amp;"
("&amp;TEXT(AE5,"0.000")&amp;")"</f>
        <v>0.214
(0.182)</v>
      </c>
      <c r="M5" s="3"/>
      <c r="N5" s="3"/>
      <c r="O5" s="3">
        <v>1.2999999999999999E-2</v>
      </c>
      <c r="P5" s="3">
        <v>5.5E-2</v>
      </c>
      <c r="Q5" s="3">
        <v>5.0000000000000001E-3</v>
      </c>
      <c r="R5" s="3">
        <v>0.05</v>
      </c>
      <c r="S5" s="3">
        <v>0.214</v>
      </c>
      <c r="T5" s="3">
        <v>7.9000000000000001E-2</v>
      </c>
      <c r="U5" s="3">
        <v>0.02</v>
      </c>
      <c r="V5" s="3">
        <v>0.04</v>
      </c>
      <c r="W5" s="3">
        <v>0.93500000000000005</v>
      </c>
      <c r="X5" s="3">
        <v>0.36799999999999999</v>
      </c>
      <c r="Y5" s="3">
        <v>0.25600000000000001</v>
      </c>
      <c r="Z5" s="3">
        <v>0.26700000000000002</v>
      </c>
      <c r="AA5" s="3">
        <v>7.0999999999999994E-2</v>
      </c>
      <c r="AB5" s="3">
        <v>4.7E-2</v>
      </c>
      <c r="AC5" s="3">
        <v>8.9999999999999993E-3</v>
      </c>
      <c r="AD5" s="3">
        <v>0.27700000000000002</v>
      </c>
      <c r="AE5" s="3">
        <v>0.182</v>
      </c>
      <c r="AF5" s="3">
        <v>0.125</v>
      </c>
      <c r="AG5" s="3">
        <v>3.1E-2</v>
      </c>
      <c r="AH5" s="3">
        <v>3.3000000000000002E-2</v>
      </c>
      <c r="AI5" s="3">
        <v>0.247</v>
      </c>
      <c r="AJ5" s="3">
        <v>0.54900000000000004</v>
      </c>
      <c r="AK5" s="3">
        <v>0.12</v>
      </c>
      <c r="AL5" s="3">
        <v>0.109</v>
      </c>
      <c r="AM5" s="3">
        <v>7.1999999999999995E-2</v>
      </c>
      <c r="AN5" s="3">
        <v>0.28000000000000003</v>
      </c>
    </row>
    <row r="6" spans="1:40" ht="30" x14ac:dyDescent="0.2">
      <c r="A6" s="3" t="s">
        <v>30</v>
      </c>
      <c r="B6" s="3" t="s">
        <v>31</v>
      </c>
      <c r="C6" s="3" t="s">
        <v>38</v>
      </c>
      <c r="D6" s="3">
        <v>0</v>
      </c>
      <c r="E6" s="4" t="str">
        <f>TEXT(O6,"0.000")&amp;"
("&amp;TEXT(AA6,"0.000")&amp;")"</f>
        <v>0.011
(0.071)</v>
      </c>
      <c r="F6" s="4" t="str">
        <f>TEXT(P6,"0.000")&amp;"
("&amp;TEXT(AB6,"0.000")&amp;")"</f>
        <v>0.055
(0.046)</v>
      </c>
      <c r="G6" s="5">
        <f>SQRT(Q6)</f>
        <v>7.0710678118654752E-2</v>
      </c>
      <c r="H6" s="5">
        <f>+V6</f>
        <v>0.04</v>
      </c>
      <c r="I6" s="5">
        <f>+W6</f>
        <v>0.93</v>
      </c>
      <c r="J6" s="5">
        <f>+X6</f>
        <v>0.39400000000000002</v>
      </c>
      <c r="K6" s="4" t="str">
        <f>TEXT(R6,"0.000")&amp;"
("&amp;TEXT(AD6,"0.000")&amp;")"</f>
        <v>0.041
(0.274)</v>
      </c>
      <c r="L6" s="4" t="str">
        <f>TEXT(S6,"0.000")&amp;"
("&amp;TEXT(AE6,"0.000")&amp;")"</f>
        <v>0.211
(0.178)</v>
      </c>
      <c r="M6" s="3"/>
      <c r="N6" s="3"/>
      <c r="O6" s="3">
        <v>1.0999999999999999E-2</v>
      </c>
      <c r="P6" s="3">
        <v>5.5E-2</v>
      </c>
      <c r="Q6" s="3">
        <v>5.0000000000000001E-3</v>
      </c>
      <c r="R6" s="3">
        <v>4.1000000000000002E-2</v>
      </c>
      <c r="S6" s="3">
        <v>0.21099999999999999</v>
      </c>
      <c r="T6" s="3">
        <v>7.5999999999999998E-2</v>
      </c>
      <c r="U6" s="3">
        <v>1.9E-2</v>
      </c>
      <c r="V6" s="3">
        <v>0.04</v>
      </c>
      <c r="W6" s="3">
        <v>0.93</v>
      </c>
      <c r="X6" s="3">
        <v>0.39400000000000002</v>
      </c>
      <c r="Y6" s="3">
        <v>0.26700000000000002</v>
      </c>
      <c r="Z6" s="3">
        <v>0.27400000000000002</v>
      </c>
      <c r="AA6" s="3">
        <v>7.0999999999999994E-2</v>
      </c>
      <c r="AB6" s="3">
        <v>4.5999999999999999E-2</v>
      </c>
      <c r="AC6" s="3">
        <v>8.0000000000000002E-3</v>
      </c>
      <c r="AD6" s="3">
        <v>0.27400000000000002</v>
      </c>
      <c r="AE6" s="3">
        <v>0.17799999999999999</v>
      </c>
      <c r="AF6" s="3">
        <v>0.122</v>
      </c>
      <c r="AG6" s="3">
        <v>3.1E-2</v>
      </c>
      <c r="AH6" s="3">
        <v>3.3000000000000002E-2</v>
      </c>
      <c r="AI6" s="3">
        <v>0.25600000000000001</v>
      </c>
      <c r="AJ6" s="3">
        <v>0.59599999999999997</v>
      </c>
      <c r="AK6" s="3">
        <v>0.12</v>
      </c>
      <c r="AL6" s="3">
        <v>0.11</v>
      </c>
      <c r="AM6" s="3">
        <v>7.1999999999999995E-2</v>
      </c>
      <c r="AN6" s="3">
        <v>0.27600000000000002</v>
      </c>
    </row>
    <row r="7" spans="1:40" ht="30" x14ac:dyDescent="0.2">
      <c r="A7" s="3" t="s">
        <v>30</v>
      </c>
      <c r="B7" s="3" t="s">
        <v>31</v>
      </c>
      <c r="C7" s="3" t="s">
        <v>39</v>
      </c>
      <c r="D7" s="3">
        <v>0</v>
      </c>
      <c r="E7" s="4" t="str">
        <f>TEXT(O7,"0.000")&amp;"
("&amp;TEXT(AA7,"0.000")&amp;")"</f>
        <v>−0.003
(0.071)</v>
      </c>
      <c r="F7" s="4" t="str">
        <f>TEXT(P7,"0.000")&amp;"
("&amp;TEXT(AB7,"0.000")&amp;")"</f>
        <v>0.055
(0.046)</v>
      </c>
      <c r="G7" s="5">
        <f>SQRT(Q7)</f>
        <v>7.0710678118654752E-2</v>
      </c>
      <c r="H7" s="5">
        <f>+V7</f>
        <v>0.04</v>
      </c>
      <c r="I7" s="5">
        <f>+W7</f>
        <v>0.93500000000000005</v>
      </c>
      <c r="J7" s="5">
        <f>+X7</f>
        <v>0.36699999999999999</v>
      </c>
      <c r="K7" s="4" t="str">
        <f>TEXT(R7,"0.000")&amp;"
("&amp;TEXT(AD7,"0.000")&amp;")"</f>
        <v>−0.011
(0.263)</v>
      </c>
      <c r="L7" s="4" t="str">
        <f>TEXT(S7,"0.000")&amp;"
("&amp;TEXT(AE7,"0.000")&amp;")"</f>
        <v>0.202
(0.169)</v>
      </c>
      <c r="M7" s="3"/>
      <c r="N7" s="3"/>
      <c r="O7" s="3" t="s">
        <v>40</v>
      </c>
      <c r="P7" s="3">
        <v>5.5E-2</v>
      </c>
      <c r="Q7" s="3">
        <v>5.0000000000000001E-3</v>
      </c>
      <c r="R7" s="3" t="s">
        <v>41</v>
      </c>
      <c r="S7" s="3">
        <v>0.20200000000000001</v>
      </c>
      <c r="T7" s="3">
        <v>6.9000000000000006E-2</v>
      </c>
      <c r="U7" s="3">
        <v>1.9E-2</v>
      </c>
      <c r="V7" s="3">
        <v>0.04</v>
      </c>
      <c r="W7" s="3">
        <v>0.93500000000000005</v>
      </c>
      <c r="X7" s="3">
        <v>0.36699999999999999</v>
      </c>
      <c r="Y7" s="3">
        <v>0.27300000000000002</v>
      </c>
      <c r="Z7" s="3">
        <v>0.27200000000000002</v>
      </c>
      <c r="AA7" s="3">
        <v>7.0999999999999994E-2</v>
      </c>
      <c r="AB7" s="3">
        <v>4.5999999999999999E-2</v>
      </c>
      <c r="AC7" s="3">
        <v>8.0000000000000002E-3</v>
      </c>
      <c r="AD7" s="3">
        <v>0.26300000000000001</v>
      </c>
      <c r="AE7" s="3">
        <v>0.16900000000000001</v>
      </c>
      <c r="AF7" s="3">
        <v>0.111</v>
      </c>
      <c r="AG7" s="3">
        <v>3.1E-2</v>
      </c>
      <c r="AH7" s="3">
        <v>3.3000000000000002E-2</v>
      </c>
      <c r="AI7" s="3">
        <v>0.247</v>
      </c>
      <c r="AJ7" s="3">
        <v>0.47899999999999998</v>
      </c>
      <c r="AK7" s="3">
        <v>0.12</v>
      </c>
      <c r="AL7" s="3">
        <v>0.109</v>
      </c>
      <c r="AM7" s="3">
        <v>7.0999999999999994E-2</v>
      </c>
      <c r="AN7" s="3">
        <v>0.26300000000000001</v>
      </c>
    </row>
    <row r="8" spans="1:40" ht="30" x14ac:dyDescent="0.2">
      <c r="A8" s="3" t="s">
        <v>30</v>
      </c>
      <c r="B8" s="3" t="s">
        <v>31</v>
      </c>
      <c r="C8" s="3" t="s">
        <v>32</v>
      </c>
      <c r="D8" s="3">
        <v>4</v>
      </c>
      <c r="E8" s="4" t="str">
        <f>TEXT(O8,"0.000")&amp;"
("&amp;TEXT(AA8,"0.000")&amp;")"</f>
        <v>−0.096
(0.252)</v>
      </c>
      <c r="F8" s="4" t="str">
        <f>TEXT(P8,"0.000")&amp;"
("&amp;TEXT(AB8,"0.000")&amp;")"</f>
        <v>0.214
(0.164)</v>
      </c>
      <c r="G8" s="5">
        <f>SQRT(Q8)</f>
        <v>0.26832815729997478</v>
      </c>
      <c r="H8" s="5">
        <f>+V8</f>
        <v>0.152</v>
      </c>
      <c r="I8" s="5">
        <f>+W8</f>
        <v>0.9</v>
      </c>
      <c r="J8" s="5">
        <f>+X8</f>
        <v>1.35</v>
      </c>
      <c r="K8" s="4" t="str">
        <f>TEXT(R8,"0.000")&amp;"
("&amp;TEXT(AD8,"0.000")&amp;")"</f>
        <v>−0.061
(0.173)</v>
      </c>
      <c r="L8" s="4" t="str">
        <f>TEXT(S8,"0.000")&amp;"
("&amp;TEXT(AE8,"0.000")&amp;")"</f>
        <v>0.147
(0.110)</v>
      </c>
      <c r="M8" s="3"/>
      <c r="N8" s="3"/>
      <c r="O8" s="3" t="s">
        <v>48</v>
      </c>
      <c r="P8" s="3">
        <v>0.214</v>
      </c>
      <c r="Q8" s="3">
        <v>7.1999999999999995E-2</v>
      </c>
      <c r="R8" s="3" t="s">
        <v>49</v>
      </c>
      <c r="S8" s="3">
        <v>0.14699999999999999</v>
      </c>
      <c r="T8" s="3">
        <v>3.3000000000000002E-2</v>
      </c>
      <c r="U8" s="3">
        <v>5.2999999999999999E-2</v>
      </c>
      <c r="V8" s="3">
        <v>0.152</v>
      </c>
      <c r="W8" s="3">
        <v>0.9</v>
      </c>
      <c r="X8" s="3">
        <v>1.35</v>
      </c>
      <c r="Y8" s="3">
        <v>0.439</v>
      </c>
      <c r="Z8" s="3">
        <v>0.44500000000000001</v>
      </c>
      <c r="AA8" s="3">
        <v>0.252</v>
      </c>
      <c r="AB8" s="3">
        <v>0.16400000000000001</v>
      </c>
      <c r="AC8" s="3">
        <v>0.104</v>
      </c>
      <c r="AD8" s="3">
        <v>0.17299999999999999</v>
      </c>
      <c r="AE8" s="3">
        <v>0.11</v>
      </c>
      <c r="AF8" s="3">
        <v>4.5999999999999999E-2</v>
      </c>
      <c r="AG8" s="3">
        <v>7.9000000000000001E-2</v>
      </c>
      <c r="AH8" s="3">
        <v>0.11700000000000001</v>
      </c>
      <c r="AI8" s="3">
        <v>0.30099999999999999</v>
      </c>
      <c r="AJ8" s="3">
        <v>1.861</v>
      </c>
      <c r="AK8" s="3">
        <v>0.14699999999999999</v>
      </c>
      <c r="AL8" s="3">
        <v>0.14699999999999999</v>
      </c>
      <c r="AM8" s="3">
        <v>0.26900000000000002</v>
      </c>
      <c r="AN8" s="3">
        <v>0.183</v>
      </c>
    </row>
    <row r="9" spans="1:40" ht="30" x14ac:dyDescent="0.2">
      <c r="A9" s="3" t="s">
        <v>30</v>
      </c>
      <c r="B9" s="3" t="s">
        <v>31</v>
      </c>
      <c r="C9" s="3" t="s">
        <v>35</v>
      </c>
      <c r="D9" s="3">
        <v>4</v>
      </c>
      <c r="E9" s="4" t="str">
        <f>TEXT(O9,"0.000")&amp;"
("&amp;TEXT(AA9,"0.000")&amp;")"</f>
        <v>−0.067
(0.212)</v>
      </c>
      <c r="F9" s="4" t="str">
        <f>TEXT(P9,"0.000")&amp;"
("&amp;TEXT(AB9,"0.000")&amp;")"</f>
        <v>0.182
(0.127)</v>
      </c>
      <c r="G9" s="5">
        <f>SQRT(Q9)</f>
        <v>0.22135943621178655</v>
      </c>
      <c r="H9" s="5">
        <f>+V9</f>
        <v>0.127</v>
      </c>
      <c r="I9" s="5">
        <f>+W9</f>
        <v>0.95499999999999996</v>
      </c>
      <c r="J9" s="5">
        <f>+X9</f>
        <v>0.98799999999999999</v>
      </c>
      <c r="K9" s="4" t="str">
        <f>TEXT(R9,"0.000")&amp;"
("&amp;TEXT(AD9,"0.000")&amp;")"</f>
        <v>−0.045
(0.152)</v>
      </c>
      <c r="L9" s="4" t="str">
        <f>TEXT(S9,"0.000")&amp;"
("&amp;TEXT(AE9,"0.000")&amp;")"</f>
        <v>0.129
(0.092)</v>
      </c>
      <c r="M9" s="3"/>
      <c r="N9" s="3"/>
      <c r="O9" s="3" t="s">
        <v>50</v>
      </c>
      <c r="P9" s="3">
        <v>0.182</v>
      </c>
      <c r="Q9" s="3">
        <v>4.9000000000000002E-2</v>
      </c>
      <c r="R9" s="3" t="s">
        <v>42</v>
      </c>
      <c r="S9" s="3">
        <v>0.129</v>
      </c>
      <c r="T9" s="3">
        <v>2.5000000000000001E-2</v>
      </c>
      <c r="U9" s="3">
        <v>3.5999999999999997E-2</v>
      </c>
      <c r="V9" s="3">
        <v>0.127</v>
      </c>
      <c r="W9" s="3">
        <v>0.95499999999999996</v>
      </c>
      <c r="X9" s="3">
        <v>0.98799999999999999</v>
      </c>
      <c r="Y9" s="3">
        <v>0.59599999999999997</v>
      </c>
      <c r="Z9" s="3">
        <v>0.54800000000000004</v>
      </c>
      <c r="AA9" s="3">
        <v>0.21199999999999999</v>
      </c>
      <c r="AB9" s="3">
        <v>0.127</v>
      </c>
      <c r="AC9" s="3">
        <v>5.7000000000000002E-2</v>
      </c>
      <c r="AD9" s="3">
        <v>0.152</v>
      </c>
      <c r="AE9" s="3">
        <v>9.1999999999999998E-2</v>
      </c>
      <c r="AF9" s="3">
        <v>0.03</v>
      </c>
      <c r="AG9" s="3">
        <v>4.2999999999999997E-2</v>
      </c>
      <c r="AH9" s="3">
        <v>7.8E-2</v>
      </c>
      <c r="AI9" s="3">
        <v>0.20799999999999999</v>
      </c>
      <c r="AJ9" s="3">
        <v>0.49399999999999999</v>
      </c>
      <c r="AK9" s="3">
        <v>0.10299999999999999</v>
      </c>
      <c r="AL9" s="3">
        <v>0.114</v>
      </c>
      <c r="AM9" s="3">
        <v>0.222</v>
      </c>
      <c r="AN9" s="3">
        <v>0.158</v>
      </c>
    </row>
    <row r="10" spans="1:40" ht="30" x14ac:dyDescent="0.2">
      <c r="A10" s="3" t="s">
        <v>30</v>
      </c>
      <c r="B10" s="3" t="s">
        <v>31</v>
      </c>
      <c r="C10" s="3" t="s">
        <v>36</v>
      </c>
      <c r="D10" s="3">
        <v>4</v>
      </c>
      <c r="E10" s="4" t="str">
        <f>TEXT(O10,"0.000")&amp;"
("&amp;TEXT(AA10,"0.000")&amp;")"</f>
        <v>−0.013
(0.209)</v>
      </c>
      <c r="F10" s="4" t="str">
        <f>TEXT(P10,"0.000")&amp;"
("&amp;TEXT(AB10,"0.000")&amp;")"</f>
        <v>0.170
(0.121)</v>
      </c>
      <c r="G10" s="5">
        <f>SQRT(Q10)</f>
        <v>0.2073644135332772</v>
      </c>
      <c r="H10" s="5">
        <f>+V10</f>
        <v>0.12</v>
      </c>
      <c r="I10" s="5">
        <f>+W10</f>
        <v>0.95499999999999996</v>
      </c>
      <c r="J10" s="5">
        <f>+X10</f>
        <v>0.96299999999999997</v>
      </c>
      <c r="K10" s="4" t="str">
        <f>TEXT(R10,"0.000")&amp;"
("&amp;TEXT(AD10,"0.000")&amp;")"</f>
        <v>−0.008
(0.154)</v>
      </c>
      <c r="L10" s="4" t="str">
        <f>TEXT(S10,"0.000")&amp;"
("&amp;TEXT(AE10,"0.000")&amp;")"</f>
        <v>0.125
(0.090)</v>
      </c>
      <c r="M10" s="3"/>
      <c r="N10" s="3"/>
      <c r="O10" s="3" t="s">
        <v>51</v>
      </c>
      <c r="P10" s="3">
        <v>0.17</v>
      </c>
      <c r="Q10" s="3">
        <v>4.2999999999999997E-2</v>
      </c>
      <c r="R10" s="3" t="s">
        <v>52</v>
      </c>
      <c r="S10" s="3">
        <v>0.125</v>
      </c>
      <c r="T10" s="3">
        <v>2.4E-2</v>
      </c>
      <c r="U10" s="3">
        <v>3.2000000000000001E-2</v>
      </c>
      <c r="V10" s="3">
        <v>0.12</v>
      </c>
      <c r="W10" s="3">
        <v>0.95499999999999996</v>
      </c>
      <c r="X10" s="3">
        <v>0.96299999999999997</v>
      </c>
      <c r="Y10" s="3">
        <v>0.59699999999999998</v>
      </c>
      <c r="Z10" s="3">
        <v>0.55000000000000004</v>
      </c>
      <c r="AA10" s="3">
        <v>0.20899999999999999</v>
      </c>
      <c r="AB10" s="3">
        <v>0.121</v>
      </c>
      <c r="AC10" s="3">
        <v>5.2999999999999999E-2</v>
      </c>
      <c r="AD10" s="3">
        <v>0.154</v>
      </c>
      <c r="AE10" s="3">
        <v>0.09</v>
      </c>
      <c r="AF10" s="3">
        <v>0.03</v>
      </c>
      <c r="AG10" s="3">
        <v>3.9E-2</v>
      </c>
      <c r="AH10" s="3">
        <v>7.5999999999999998E-2</v>
      </c>
      <c r="AI10" s="3">
        <v>0.20799999999999999</v>
      </c>
      <c r="AJ10" s="3">
        <v>0.58599999999999997</v>
      </c>
      <c r="AK10" s="3">
        <v>0.105</v>
      </c>
      <c r="AL10" s="3">
        <v>0.114</v>
      </c>
      <c r="AM10" s="3">
        <v>0.20799999999999999</v>
      </c>
      <c r="AN10" s="3">
        <v>0.154</v>
      </c>
    </row>
    <row r="11" spans="1:40" ht="30" x14ac:dyDescent="0.2">
      <c r="A11" s="3" t="s">
        <v>30</v>
      </c>
      <c r="B11" s="3" t="s">
        <v>31</v>
      </c>
      <c r="C11" s="3" t="s">
        <v>37</v>
      </c>
      <c r="D11" s="3">
        <v>4</v>
      </c>
      <c r="E11" s="4" t="str">
        <f>TEXT(O11,"0.000")&amp;"
("&amp;TEXT(AA11,"0.000")&amp;")"</f>
        <v>−0.009
(0.217)</v>
      </c>
      <c r="F11" s="4" t="str">
        <f>TEXT(P11,"0.000")&amp;"
("&amp;TEXT(AB11,"0.000")&amp;")"</f>
        <v>0.177
(0.126)</v>
      </c>
      <c r="G11" s="5">
        <f>SQRT(Q11)</f>
        <v>0.216794833886788</v>
      </c>
      <c r="H11" s="5">
        <f>+V11</f>
        <v>0.123</v>
      </c>
      <c r="I11" s="5">
        <f>+W11</f>
        <v>0.97</v>
      </c>
      <c r="J11" s="5">
        <f>+X11</f>
        <v>1.0349999999999999</v>
      </c>
      <c r="K11" s="4" t="str">
        <f>TEXT(R11,"0.000")&amp;"
("&amp;TEXT(AD11,"0.000")&amp;")"</f>
        <v>−0.006
(0.161)</v>
      </c>
      <c r="L11" s="4" t="str">
        <f>TEXT(S11,"0.000")&amp;"
("&amp;TEXT(AE11,"0.000")&amp;")"</f>
        <v>0.130
(0.094)</v>
      </c>
      <c r="M11" s="3"/>
      <c r="N11" s="3"/>
      <c r="O11" s="3" t="s">
        <v>46</v>
      </c>
      <c r="P11" s="3">
        <v>0.17699999999999999</v>
      </c>
      <c r="Q11" s="3">
        <v>4.7E-2</v>
      </c>
      <c r="R11" s="3" t="s">
        <v>53</v>
      </c>
      <c r="S11" s="3">
        <v>0.13</v>
      </c>
      <c r="T11" s="3">
        <v>2.5999999999999999E-2</v>
      </c>
      <c r="U11" s="3">
        <v>3.5000000000000003E-2</v>
      </c>
      <c r="V11" s="3">
        <v>0.123</v>
      </c>
      <c r="W11" s="3">
        <v>0.97</v>
      </c>
      <c r="X11" s="3">
        <v>1.0349999999999999</v>
      </c>
      <c r="Y11" s="3">
        <v>0.59399999999999997</v>
      </c>
      <c r="Z11" s="3">
        <v>0.55600000000000005</v>
      </c>
      <c r="AA11" s="3">
        <v>0.217</v>
      </c>
      <c r="AB11" s="3">
        <v>0.126</v>
      </c>
      <c r="AC11" s="3">
        <v>6.0999999999999999E-2</v>
      </c>
      <c r="AD11" s="3">
        <v>0.161</v>
      </c>
      <c r="AE11" s="3">
        <v>9.4E-2</v>
      </c>
      <c r="AF11" s="3">
        <v>3.4000000000000002E-2</v>
      </c>
      <c r="AG11" s="3">
        <v>4.7E-2</v>
      </c>
      <c r="AH11" s="3">
        <v>7.8E-2</v>
      </c>
      <c r="AI11" s="3">
        <v>0.17100000000000001</v>
      </c>
      <c r="AJ11" s="3">
        <v>0.65200000000000002</v>
      </c>
      <c r="AK11" s="3">
        <v>0.108</v>
      </c>
      <c r="AL11" s="3">
        <v>0.11600000000000001</v>
      </c>
      <c r="AM11" s="3">
        <v>0.217</v>
      </c>
      <c r="AN11" s="3">
        <v>0.16</v>
      </c>
    </row>
    <row r="12" spans="1:40" ht="30" x14ac:dyDescent="0.2">
      <c r="A12" s="3" t="s">
        <v>30</v>
      </c>
      <c r="B12" s="3" t="s">
        <v>31</v>
      </c>
      <c r="C12" s="3" t="s">
        <v>38</v>
      </c>
      <c r="D12" s="3">
        <v>4</v>
      </c>
      <c r="E12" s="4" t="str">
        <f>TEXT(O12,"0.000")&amp;"
("&amp;TEXT(AA12,"0.000")&amp;")"</f>
        <v>−0.021
(0.216)</v>
      </c>
      <c r="F12" s="4" t="str">
        <f>TEXT(P12,"0.000")&amp;"
("&amp;TEXT(AB12,"0.000")&amp;")"</f>
        <v>0.176
(0.126)</v>
      </c>
      <c r="G12" s="5">
        <f>SQRT(Q12)</f>
        <v>0.216794833886788</v>
      </c>
      <c r="H12" s="5">
        <f>+V12</f>
        <v>0.124</v>
      </c>
      <c r="I12" s="5">
        <f>+W12</f>
        <v>0.98</v>
      </c>
      <c r="J12" s="5">
        <f>+X12</f>
        <v>1.022</v>
      </c>
      <c r="K12" s="4" t="str">
        <f>TEXT(R12,"0.000")&amp;"
("&amp;TEXT(AD12,"0.000")&amp;")"</f>
        <v>−0.015
(0.158)</v>
      </c>
      <c r="L12" s="4" t="str">
        <f>TEXT(S12,"0.000")&amp;"
("&amp;TEXT(AE12,"0.000")&amp;")"</f>
        <v>0.129
(0.093)</v>
      </c>
      <c r="M12" s="3"/>
      <c r="N12" s="3"/>
      <c r="O12" s="3" t="s">
        <v>43</v>
      </c>
      <c r="P12" s="3">
        <v>0.17599999999999999</v>
      </c>
      <c r="Q12" s="3">
        <v>4.7E-2</v>
      </c>
      <c r="R12" s="3" t="s">
        <v>54</v>
      </c>
      <c r="S12" s="3">
        <v>0.129</v>
      </c>
      <c r="T12" s="3">
        <v>2.5000000000000001E-2</v>
      </c>
      <c r="U12" s="3">
        <v>3.5000000000000003E-2</v>
      </c>
      <c r="V12" s="3">
        <v>0.124</v>
      </c>
      <c r="W12" s="3">
        <v>0.98</v>
      </c>
      <c r="X12" s="3">
        <v>1.022</v>
      </c>
      <c r="Y12" s="3">
        <v>0.6</v>
      </c>
      <c r="Z12" s="3">
        <v>0.56200000000000006</v>
      </c>
      <c r="AA12" s="3">
        <v>0.216</v>
      </c>
      <c r="AB12" s="3">
        <v>0.126</v>
      </c>
      <c r="AC12" s="3">
        <v>6.0999999999999999E-2</v>
      </c>
      <c r="AD12" s="3">
        <v>0.158</v>
      </c>
      <c r="AE12" s="3">
        <v>9.2999999999999999E-2</v>
      </c>
      <c r="AF12" s="3">
        <v>3.4000000000000002E-2</v>
      </c>
      <c r="AG12" s="3">
        <v>4.8000000000000001E-2</v>
      </c>
      <c r="AH12" s="3">
        <v>7.8E-2</v>
      </c>
      <c r="AI12" s="3">
        <v>0.14000000000000001</v>
      </c>
      <c r="AJ12" s="3">
        <v>0.61599999999999999</v>
      </c>
      <c r="AK12" s="3">
        <v>0.105</v>
      </c>
      <c r="AL12" s="3">
        <v>0.113</v>
      </c>
      <c r="AM12" s="3">
        <v>0.217</v>
      </c>
      <c r="AN12" s="3">
        <v>0.159</v>
      </c>
    </row>
    <row r="13" spans="1:40" ht="30" x14ac:dyDescent="0.2">
      <c r="A13" s="3" t="s">
        <v>30</v>
      </c>
      <c r="B13" s="3" t="s">
        <v>31</v>
      </c>
      <c r="C13" s="3" t="s">
        <v>39</v>
      </c>
      <c r="D13" s="3">
        <v>4</v>
      </c>
      <c r="E13" s="4" t="str">
        <f>TEXT(O13,"0.000")&amp;"
("&amp;TEXT(AA13,"0.000")&amp;")"</f>
        <v>−0.092
(0.206)</v>
      </c>
      <c r="F13" s="4" t="str">
        <f>TEXT(P13,"0.000")&amp;"
("&amp;TEXT(AB13,"0.000")&amp;")"</f>
        <v>0.183
(0.131)</v>
      </c>
      <c r="G13" s="5">
        <f>SQRT(Q13)</f>
        <v>0.22583179581272428</v>
      </c>
      <c r="H13" s="5">
        <f>+V13</f>
        <v>0.128</v>
      </c>
      <c r="I13" s="5">
        <f>+W13</f>
        <v>0.95</v>
      </c>
      <c r="J13" s="5">
        <f>+X13</f>
        <v>1.052</v>
      </c>
      <c r="K13" s="4" t="str">
        <f>TEXT(R13,"0.000")&amp;"
("&amp;TEXT(AD13,"0.000")&amp;")"</f>
        <v>−0.064
(0.144)</v>
      </c>
      <c r="L13" s="4" t="str">
        <f>TEXT(S13,"0.000")&amp;"
("&amp;TEXT(AE13,"0.000")&amp;")"</f>
        <v>0.127
(0.092)</v>
      </c>
      <c r="M13" s="3"/>
      <c r="N13" s="3"/>
      <c r="O13" s="3" t="s">
        <v>55</v>
      </c>
      <c r="P13" s="3">
        <v>0.183</v>
      </c>
      <c r="Q13" s="3">
        <v>5.0999999999999997E-2</v>
      </c>
      <c r="R13" s="3" t="s">
        <v>56</v>
      </c>
      <c r="S13" s="3">
        <v>0.127</v>
      </c>
      <c r="T13" s="3">
        <v>2.5000000000000001E-2</v>
      </c>
      <c r="U13" s="3">
        <v>3.6999999999999998E-2</v>
      </c>
      <c r="V13" s="3">
        <v>0.128</v>
      </c>
      <c r="W13" s="3">
        <v>0.95</v>
      </c>
      <c r="X13" s="3">
        <v>1.052</v>
      </c>
      <c r="Y13" s="3">
        <v>0.61499999999999999</v>
      </c>
      <c r="Z13" s="3">
        <v>0.57099999999999995</v>
      </c>
      <c r="AA13" s="3">
        <v>0.20599999999999999</v>
      </c>
      <c r="AB13" s="3">
        <v>0.13100000000000001</v>
      </c>
      <c r="AC13" s="3">
        <v>6.3E-2</v>
      </c>
      <c r="AD13" s="3">
        <v>0.14399999999999999</v>
      </c>
      <c r="AE13" s="3">
        <v>9.1999999999999998E-2</v>
      </c>
      <c r="AF13" s="3">
        <v>3.2000000000000001E-2</v>
      </c>
      <c r="AG13" s="3">
        <v>0.05</v>
      </c>
      <c r="AH13" s="3">
        <v>8.3000000000000004E-2</v>
      </c>
      <c r="AI13" s="3">
        <v>0.218</v>
      </c>
      <c r="AJ13" s="3">
        <v>0.81200000000000006</v>
      </c>
      <c r="AK13" s="3">
        <v>9.6000000000000002E-2</v>
      </c>
      <c r="AL13" s="3">
        <v>0.111</v>
      </c>
      <c r="AM13" s="3">
        <v>0.22500000000000001</v>
      </c>
      <c r="AN13" s="3">
        <v>0.157</v>
      </c>
    </row>
    <row r="14" spans="1:40" ht="30" x14ac:dyDescent="0.2">
      <c r="A14" s="3" t="s">
        <v>30</v>
      </c>
      <c r="B14" s="3" t="s">
        <v>57</v>
      </c>
      <c r="C14" s="3" t="s">
        <v>32</v>
      </c>
      <c r="D14" s="3">
        <v>0</v>
      </c>
      <c r="E14" s="4" t="str">
        <f>TEXT(O14,"0.000")&amp;"
("&amp;TEXT(AA14,"0.000")&amp;")"</f>
        <v>−0.015
(0.058)</v>
      </c>
      <c r="F14" s="4" t="str">
        <f>TEXT(P14,"0.000")&amp;"
("&amp;TEXT(AB14,"0.000")&amp;")"</f>
        <v>0.048
(0.036)</v>
      </c>
      <c r="G14" s="5">
        <f>SQRT(Q14)</f>
        <v>6.3245553203367583E-2</v>
      </c>
      <c r="H14" s="5">
        <f>+V14</f>
        <v>3.4000000000000002E-2</v>
      </c>
      <c r="I14" s="5">
        <f>+W14</f>
        <v>0.95</v>
      </c>
      <c r="J14" s="5">
        <f>+X14</f>
        <v>0.28299999999999997</v>
      </c>
      <c r="K14" s="4" t="str">
        <f>TEXT(R14,"0.000")&amp;"
("&amp;TEXT(AD14,"0.000")&amp;")"</f>
        <v>−0.052
(0.213)</v>
      </c>
      <c r="L14" s="4" t="str">
        <f>TEXT(S14,"0.000")&amp;"
("&amp;TEXT(AE14,"0.000")&amp;")"</f>
        <v>0.176
(0.130)</v>
      </c>
      <c r="M14" s="3"/>
      <c r="N14" s="3"/>
      <c r="O14" s="3" t="s">
        <v>54</v>
      </c>
      <c r="P14" s="3">
        <v>4.8000000000000001E-2</v>
      </c>
      <c r="Q14" s="3">
        <v>4.0000000000000001E-3</v>
      </c>
      <c r="R14" s="3" t="s">
        <v>58</v>
      </c>
      <c r="S14" s="3">
        <v>0.17599999999999999</v>
      </c>
      <c r="T14" s="3">
        <v>4.8000000000000001E-2</v>
      </c>
      <c r="U14" s="3">
        <v>1.4E-2</v>
      </c>
      <c r="V14" s="3">
        <v>3.4000000000000002E-2</v>
      </c>
      <c r="W14" s="3">
        <v>0.95</v>
      </c>
      <c r="X14" s="3">
        <v>0.28299999999999997</v>
      </c>
      <c r="Y14" s="3">
        <v>0.17</v>
      </c>
      <c r="Z14" s="3">
        <v>0.17899999999999999</v>
      </c>
      <c r="AA14" s="3">
        <v>5.8000000000000003E-2</v>
      </c>
      <c r="AB14" s="3">
        <v>3.5999999999999997E-2</v>
      </c>
      <c r="AC14" s="3">
        <v>5.0000000000000001E-3</v>
      </c>
      <c r="AD14" s="3">
        <v>0.21299999999999999</v>
      </c>
      <c r="AE14" s="3">
        <v>0.13</v>
      </c>
      <c r="AF14" s="3">
        <v>6.4000000000000001E-2</v>
      </c>
      <c r="AG14" s="3">
        <v>2.1000000000000001E-2</v>
      </c>
      <c r="AH14" s="3">
        <v>2.4E-2</v>
      </c>
      <c r="AI14" s="3">
        <v>0.218</v>
      </c>
      <c r="AJ14" s="3">
        <v>0.315</v>
      </c>
      <c r="AK14" s="3">
        <v>0.106</v>
      </c>
      <c r="AL14" s="3">
        <v>9.1999999999999998E-2</v>
      </c>
      <c r="AM14" s="3">
        <v>0.06</v>
      </c>
      <c r="AN14" s="3">
        <v>0.219</v>
      </c>
    </row>
    <row r="15" spans="1:40" ht="30" x14ac:dyDescent="0.2">
      <c r="A15" s="3" t="s">
        <v>30</v>
      </c>
      <c r="B15" s="3" t="s">
        <v>57</v>
      </c>
      <c r="C15" s="3" t="s">
        <v>35</v>
      </c>
      <c r="D15" s="3">
        <v>0</v>
      </c>
      <c r="E15" s="4" t="str">
        <f>TEXT(O15,"0.000")&amp;"
("&amp;TEXT(AA15,"0.000")&amp;")"</f>
        <v>0.053
(0.056)</v>
      </c>
      <c r="F15" s="4" t="str">
        <f>TEXT(P15,"0.000")&amp;"
("&amp;TEXT(AB15,"0.000")&amp;")"</f>
        <v>0.063
(0.044)</v>
      </c>
      <c r="G15" s="5">
        <f>SQRT(Q15)</f>
        <v>7.7459666924148338E-2</v>
      </c>
      <c r="H15" s="5">
        <f>+V15</f>
        <v>4.5999999999999999E-2</v>
      </c>
      <c r="I15" s="5">
        <f>+W15</f>
        <v>0.82</v>
      </c>
      <c r="J15" s="5">
        <f>+X15</f>
        <v>0.44</v>
      </c>
      <c r="K15" s="4" t="str">
        <f>TEXT(R15,"0.000")&amp;"
("&amp;TEXT(AD15,"0.000")&amp;")"</f>
        <v>0.262
(0.276)</v>
      </c>
      <c r="L15" s="4" t="str">
        <f>TEXT(S15,"0.000")&amp;"
("&amp;TEXT(AE15,"0.000")&amp;")"</f>
        <v>0.311
(0.219)</v>
      </c>
      <c r="M15" s="3"/>
      <c r="N15" s="3"/>
      <c r="O15" s="3">
        <v>5.2999999999999999E-2</v>
      </c>
      <c r="P15" s="3">
        <v>6.3E-2</v>
      </c>
      <c r="Q15" s="3">
        <v>6.0000000000000001E-3</v>
      </c>
      <c r="R15" s="3">
        <v>0.26200000000000001</v>
      </c>
      <c r="S15" s="3">
        <v>0.311</v>
      </c>
      <c r="T15" s="3">
        <v>0.14399999999999999</v>
      </c>
      <c r="U15" s="3">
        <v>2.5000000000000001E-2</v>
      </c>
      <c r="V15" s="3">
        <v>4.5999999999999999E-2</v>
      </c>
      <c r="W15" s="3">
        <v>0.82</v>
      </c>
      <c r="X15" s="3">
        <v>0.44</v>
      </c>
      <c r="Y15" s="3">
        <v>0.23899999999999999</v>
      </c>
      <c r="Z15" s="3">
        <v>0.20899999999999999</v>
      </c>
      <c r="AA15" s="3">
        <v>5.6000000000000001E-2</v>
      </c>
      <c r="AB15" s="3">
        <v>4.3999999999999997E-2</v>
      </c>
      <c r="AC15" s="3">
        <v>7.0000000000000001E-3</v>
      </c>
      <c r="AD15" s="3">
        <v>0.27600000000000002</v>
      </c>
      <c r="AE15" s="3">
        <v>0.219</v>
      </c>
      <c r="AF15" s="3">
        <v>0.17699999999999999</v>
      </c>
      <c r="AG15" s="3">
        <v>2.9000000000000001E-2</v>
      </c>
      <c r="AH15" s="3">
        <v>3.5000000000000003E-2</v>
      </c>
      <c r="AI15" s="3">
        <v>0.38500000000000001</v>
      </c>
      <c r="AJ15" s="3">
        <v>0.65800000000000003</v>
      </c>
      <c r="AK15" s="3">
        <v>0.112</v>
      </c>
      <c r="AL15" s="3">
        <v>0.10199999999999999</v>
      </c>
      <c r="AM15" s="3">
        <v>7.6999999999999999E-2</v>
      </c>
      <c r="AN15" s="3">
        <v>0.38</v>
      </c>
    </row>
    <row r="16" spans="1:40" ht="30" x14ac:dyDescent="0.2">
      <c r="A16" s="3" t="s">
        <v>30</v>
      </c>
      <c r="B16" s="3" t="s">
        <v>57</v>
      </c>
      <c r="C16" s="3" t="s">
        <v>36</v>
      </c>
      <c r="D16" s="3">
        <v>0</v>
      </c>
      <c r="E16" s="4" t="str">
        <f>TEXT(O16,"0.000")&amp;"
("&amp;TEXT(AA16,"0.000")&amp;")"</f>
        <v>0.056
(0.056)</v>
      </c>
      <c r="F16" s="4" t="str">
        <f>TEXT(P16,"0.000")&amp;"
("&amp;TEXT(AB16,"0.000")&amp;")"</f>
        <v>0.065
(0.044)</v>
      </c>
      <c r="G16" s="5">
        <f>SQRT(Q16)</f>
        <v>7.7459666924148338E-2</v>
      </c>
      <c r="H16" s="5">
        <f>+V16</f>
        <v>4.8000000000000001E-2</v>
      </c>
      <c r="I16" s="5">
        <f>+W16</f>
        <v>0.8</v>
      </c>
      <c r="J16" s="5">
        <f>+X16</f>
        <v>0.45300000000000001</v>
      </c>
      <c r="K16" s="4" t="str">
        <f>TEXT(R16,"0.000")&amp;"
("&amp;TEXT(AD16,"0.000")&amp;")"</f>
        <v>0.277
(0.276)</v>
      </c>
      <c r="L16" s="4" t="str">
        <f>TEXT(S16,"0.000")&amp;"
("&amp;TEXT(AE16,"0.000")&amp;")"</f>
        <v>0.323
(0.220)</v>
      </c>
      <c r="M16" s="3"/>
      <c r="N16" s="3"/>
      <c r="O16" s="3">
        <v>5.6000000000000001E-2</v>
      </c>
      <c r="P16" s="3">
        <v>6.5000000000000002E-2</v>
      </c>
      <c r="Q16" s="3">
        <v>6.0000000000000001E-3</v>
      </c>
      <c r="R16" s="3">
        <v>0.27700000000000002</v>
      </c>
      <c r="S16" s="3">
        <v>0.32300000000000001</v>
      </c>
      <c r="T16" s="3">
        <v>0.152</v>
      </c>
      <c r="U16" s="3">
        <v>2.5999999999999999E-2</v>
      </c>
      <c r="V16" s="3">
        <v>4.8000000000000001E-2</v>
      </c>
      <c r="W16" s="3">
        <v>0.8</v>
      </c>
      <c r="X16" s="3">
        <v>0.45300000000000001</v>
      </c>
      <c r="Y16" s="3">
        <v>0.24199999999999999</v>
      </c>
      <c r="Z16" s="3">
        <v>0.215</v>
      </c>
      <c r="AA16" s="3">
        <v>5.6000000000000001E-2</v>
      </c>
      <c r="AB16" s="3">
        <v>4.3999999999999997E-2</v>
      </c>
      <c r="AC16" s="3">
        <v>7.0000000000000001E-3</v>
      </c>
      <c r="AD16" s="3">
        <v>0.27600000000000002</v>
      </c>
      <c r="AE16" s="3">
        <v>0.22</v>
      </c>
      <c r="AF16" s="3">
        <v>0.18</v>
      </c>
      <c r="AG16" s="3">
        <v>2.9000000000000001E-2</v>
      </c>
      <c r="AH16" s="3">
        <v>3.5000000000000003E-2</v>
      </c>
      <c r="AI16" s="3">
        <v>0.40100000000000002</v>
      </c>
      <c r="AJ16" s="3">
        <v>0.67100000000000004</v>
      </c>
      <c r="AK16" s="3">
        <v>0.112</v>
      </c>
      <c r="AL16" s="3">
        <v>0.10100000000000001</v>
      </c>
      <c r="AM16" s="3">
        <v>7.8E-2</v>
      </c>
      <c r="AN16" s="3">
        <v>0.39</v>
      </c>
    </row>
    <row r="17" spans="1:40" ht="30" x14ac:dyDescent="0.2">
      <c r="A17" s="3" t="s">
        <v>30</v>
      </c>
      <c r="B17" s="3" t="s">
        <v>57</v>
      </c>
      <c r="C17" s="3" t="s">
        <v>37</v>
      </c>
      <c r="D17" s="3">
        <v>0</v>
      </c>
      <c r="E17" s="4" t="str">
        <f>TEXT(O17,"0.000")&amp;"
("&amp;TEXT(AA17,"0.000")&amp;")"</f>
        <v>0.029
(0.057)</v>
      </c>
      <c r="F17" s="4" t="str">
        <f>TEXT(P17,"0.000")&amp;"
("&amp;TEXT(AB17,"0.000")&amp;")"</f>
        <v>0.051
(0.038)</v>
      </c>
      <c r="G17" s="5">
        <f>SQRT(Q17)</f>
        <v>6.3245553203367583E-2</v>
      </c>
      <c r="H17" s="5">
        <f>+V17</f>
        <v>3.6999999999999998E-2</v>
      </c>
      <c r="I17" s="5">
        <f>+W17</f>
        <v>0.92</v>
      </c>
      <c r="J17" s="5">
        <f>+X17</f>
        <v>0.29199999999999998</v>
      </c>
      <c r="K17" s="4" t="str">
        <f>TEXT(R17,"0.000")&amp;"
("&amp;TEXT(AD17,"0.000")&amp;")"</f>
        <v>0.129
(0.248)</v>
      </c>
      <c r="L17" s="4" t="str">
        <f>TEXT(S17,"0.000")&amp;"
("&amp;TEXT(AE17,"0.000")&amp;")"</f>
        <v>0.225
(0.165)</v>
      </c>
      <c r="M17" s="3"/>
      <c r="N17" s="3"/>
      <c r="O17" s="3">
        <v>2.9000000000000001E-2</v>
      </c>
      <c r="P17" s="3">
        <v>5.0999999999999997E-2</v>
      </c>
      <c r="Q17" s="3">
        <v>4.0000000000000001E-3</v>
      </c>
      <c r="R17" s="3">
        <v>0.129</v>
      </c>
      <c r="S17" s="3">
        <v>0.22500000000000001</v>
      </c>
      <c r="T17" s="3">
        <v>7.8E-2</v>
      </c>
      <c r="U17" s="3">
        <v>1.6E-2</v>
      </c>
      <c r="V17" s="3">
        <v>3.6999999999999998E-2</v>
      </c>
      <c r="W17" s="3">
        <v>0.92</v>
      </c>
      <c r="X17" s="3">
        <v>0.29199999999999998</v>
      </c>
      <c r="Y17" s="3">
        <v>0.23499999999999999</v>
      </c>
      <c r="Z17" s="3">
        <v>0.224</v>
      </c>
      <c r="AA17" s="3">
        <v>5.7000000000000002E-2</v>
      </c>
      <c r="AB17" s="3">
        <v>3.7999999999999999E-2</v>
      </c>
      <c r="AC17" s="3">
        <v>5.0000000000000001E-3</v>
      </c>
      <c r="AD17" s="3">
        <v>0.248</v>
      </c>
      <c r="AE17" s="3">
        <v>0.16500000000000001</v>
      </c>
      <c r="AF17" s="3">
        <v>9.9000000000000005E-2</v>
      </c>
      <c r="AG17" s="3">
        <v>0.02</v>
      </c>
      <c r="AH17" s="3">
        <v>2.7E-2</v>
      </c>
      <c r="AI17" s="3">
        <v>0.27200000000000002</v>
      </c>
      <c r="AJ17" s="3">
        <v>0.35699999999999998</v>
      </c>
      <c r="AK17" s="3">
        <v>9.8000000000000004E-2</v>
      </c>
      <c r="AL17" s="3">
        <v>9.6000000000000002E-2</v>
      </c>
      <c r="AM17" s="3">
        <v>6.3E-2</v>
      </c>
      <c r="AN17" s="3">
        <v>0.27900000000000003</v>
      </c>
    </row>
    <row r="18" spans="1:40" ht="30" x14ac:dyDescent="0.2">
      <c r="A18" s="3" t="s">
        <v>30</v>
      </c>
      <c r="B18" s="3" t="s">
        <v>57</v>
      </c>
      <c r="C18" s="3" t="s">
        <v>38</v>
      </c>
      <c r="D18" s="3">
        <v>0</v>
      </c>
      <c r="E18" s="4" t="str">
        <f>TEXT(O18,"0.000")&amp;"
("&amp;TEXT(AA18,"0.000")&amp;")"</f>
        <v>0.029
(0.056)</v>
      </c>
      <c r="F18" s="4" t="str">
        <f>TEXT(P18,"0.000")&amp;"
("&amp;TEXT(AB18,"0.000")&amp;")"</f>
        <v>0.051
(0.037)</v>
      </c>
      <c r="G18" s="5">
        <f>SQRT(Q18)</f>
        <v>6.3245553203367583E-2</v>
      </c>
      <c r="H18" s="5">
        <f>+V18</f>
        <v>3.6999999999999998E-2</v>
      </c>
      <c r="I18" s="5">
        <f>+W18</f>
        <v>0.92</v>
      </c>
      <c r="J18" s="5">
        <f>+X18</f>
        <v>0.29199999999999998</v>
      </c>
      <c r="K18" s="4" t="str">
        <f>TEXT(R18,"0.000")&amp;"
("&amp;TEXT(AD18,"0.000")&amp;")"</f>
        <v>0.131
(0.247)</v>
      </c>
      <c r="L18" s="4" t="str">
        <f>TEXT(S18,"0.000")&amp;"
("&amp;TEXT(AE18,"0.000")&amp;")"</f>
        <v>0.227
(0.164)</v>
      </c>
      <c r="M18" s="3"/>
      <c r="N18" s="3"/>
      <c r="O18" s="3">
        <v>2.9000000000000001E-2</v>
      </c>
      <c r="P18" s="3">
        <v>5.0999999999999997E-2</v>
      </c>
      <c r="Q18" s="3">
        <v>4.0000000000000001E-3</v>
      </c>
      <c r="R18" s="3">
        <v>0.13100000000000001</v>
      </c>
      <c r="S18" s="3">
        <v>0.22700000000000001</v>
      </c>
      <c r="T18" s="3">
        <v>7.8E-2</v>
      </c>
      <c r="U18" s="3">
        <v>1.6E-2</v>
      </c>
      <c r="V18" s="3">
        <v>3.6999999999999998E-2</v>
      </c>
      <c r="W18" s="3">
        <v>0.92</v>
      </c>
      <c r="X18" s="3">
        <v>0.29199999999999998</v>
      </c>
      <c r="Y18" s="3">
        <v>0.246</v>
      </c>
      <c r="Z18" s="3">
        <v>0.23100000000000001</v>
      </c>
      <c r="AA18" s="3">
        <v>5.6000000000000001E-2</v>
      </c>
      <c r="AB18" s="3">
        <v>3.6999999999999998E-2</v>
      </c>
      <c r="AC18" s="3">
        <v>5.0000000000000001E-3</v>
      </c>
      <c r="AD18" s="3">
        <v>0.247</v>
      </c>
      <c r="AE18" s="3">
        <v>0.16400000000000001</v>
      </c>
      <c r="AF18" s="3">
        <v>9.9000000000000005E-2</v>
      </c>
      <c r="AG18" s="3">
        <v>0.02</v>
      </c>
      <c r="AH18" s="3">
        <v>2.7E-2</v>
      </c>
      <c r="AI18" s="3">
        <v>0.27200000000000002</v>
      </c>
      <c r="AJ18" s="3">
        <v>0.371</v>
      </c>
      <c r="AK18" s="3">
        <v>0.10299999999999999</v>
      </c>
      <c r="AL18" s="3">
        <v>9.7000000000000003E-2</v>
      </c>
      <c r="AM18" s="3">
        <v>6.3E-2</v>
      </c>
      <c r="AN18" s="3">
        <v>0.27900000000000003</v>
      </c>
    </row>
    <row r="19" spans="1:40" ht="30" x14ac:dyDescent="0.2">
      <c r="A19" s="3" t="s">
        <v>30</v>
      </c>
      <c r="B19" s="3" t="s">
        <v>57</v>
      </c>
      <c r="C19" s="3" t="s">
        <v>39</v>
      </c>
      <c r="D19" s="3">
        <v>0</v>
      </c>
      <c r="E19" s="4" t="str">
        <f>TEXT(O19,"0.000")&amp;"
("&amp;TEXT(AA19,"0.000")&amp;")"</f>
        <v>0.025
(0.057)</v>
      </c>
      <c r="F19" s="4" t="str">
        <f>TEXT(P19,"0.000")&amp;"
("&amp;TEXT(AB19,"0.000")&amp;")"</f>
        <v>0.050
(0.036)</v>
      </c>
      <c r="G19" s="5">
        <f>SQRT(Q19)</f>
        <v>6.3245553203367583E-2</v>
      </c>
      <c r="H19" s="5">
        <f>+V19</f>
        <v>3.5999999999999997E-2</v>
      </c>
      <c r="I19" s="5">
        <f>+W19</f>
        <v>0.93</v>
      </c>
      <c r="J19" s="5">
        <f>+X19</f>
        <v>0.27600000000000002</v>
      </c>
      <c r="K19" s="4" t="str">
        <f>TEXT(R19,"0.000")&amp;"
("&amp;TEXT(AD19,"0.000")&amp;")"</f>
        <v>0.108
(0.243)</v>
      </c>
      <c r="L19" s="4" t="str">
        <f>TEXT(S19,"0.000")&amp;"
("&amp;TEXT(AE19,"0.000")&amp;")"</f>
        <v>0.215
(0.156)</v>
      </c>
      <c r="M19" s="3"/>
      <c r="N19" s="3"/>
      <c r="O19" s="3">
        <v>2.5000000000000001E-2</v>
      </c>
      <c r="P19" s="3">
        <v>0.05</v>
      </c>
      <c r="Q19" s="3">
        <v>4.0000000000000001E-3</v>
      </c>
      <c r="R19" s="3">
        <v>0.108</v>
      </c>
      <c r="S19" s="3">
        <v>0.215</v>
      </c>
      <c r="T19" s="3">
        <v>7.0999999999999994E-2</v>
      </c>
      <c r="U19" s="3">
        <v>1.4999999999999999E-2</v>
      </c>
      <c r="V19" s="3">
        <v>3.5999999999999997E-2</v>
      </c>
      <c r="W19" s="3">
        <v>0.93</v>
      </c>
      <c r="X19" s="3">
        <v>0.27600000000000002</v>
      </c>
      <c r="Y19" s="3">
        <v>0.254</v>
      </c>
      <c r="Z19" s="3">
        <v>0.23599999999999999</v>
      </c>
      <c r="AA19" s="3">
        <v>5.7000000000000002E-2</v>
      </c>
      <c r="AB19" s="3">
        <v>3.5999999999999997E-2</v>
      </c>
      <c r="AC19" s="3">
        <v>5.0000000000000001E-3</v>
      </c>
      <c r="AD19" s="3">
        <v>0.24299999999999999</v>
      </c>
      <c r="AE19" s="3">
        <v>0.156</v>
      </c>
      <c r="AF19" s="3">
        <v>0.09</v>
      </c>
      <c r="AG19" s="3">
        <v>1.9E-2</v>
      </c>
      <c r="AH19" s="3">
        <v>2.5999999999999999E-2</v>
      </c>
      <c r="AI19" s="3">
        <v>0.25600000000000001</v>
      </c>
      <c r="AJ19" s="3">
        <v>0.30099999999999999</v>
      </c>
      <c r="AK19" s="3">
        <v>0.10199999999999999</v>
      </c>
      <c r="AL19" s="3">
        <v>9.6000000000000002E-2</v>
      </c>
      <c r="AM19" s="3">
        <v>6.2E-2</v>
      </c>
      <c r="AN19" s="3">
        <v>0.26600000000000001</v>
      </c>
    </row>
    <row r="20" spans="1:40" ht="30" x14ac:dyDescent="0.2">
      <c r="A20" s="3" t="s">
        <v>30</v>
      </c>
      <c r="B20" s="3" t="s">
        <v>57</v>
      </c>
      <c r="C20" s="3" t="s">
        <v>32</v>
      </c>
      <c r="D20" s="3">
        <v>4</v>
      </c>
      <c r="E20" s="4" t="str">
        <f>TEXT(O20,"0.000")&amp;"
("&amp;TEXT(AA20,"0.000")&amp;")"</f>
        <v>−0.203
(0.193)</v>
      </c>
      <c r="F20" s="4" t="str">
        <f>TEXT(P20,"0.000")&amp;"
("&amp;TEXT(AB20,"0.000")&amp;")"</f>
        <v>0.228
(0.162)</v>
      </c>
      <c r="G20" s="5">
        <f>SQRT(Q20)</f>
        <v>0.27928480087537882</v>
      </c>
      <c r="H20" s="5">
        <f>+V20</f>
        <v>0.16400000000000001</v>
      </c>
      <c r="I20" s="5">
        <f>+W20</f>
        <v>0.78</v>
      </c>
      <c r="J20" s="5">
        <f>+X20</f>
        <v>1.7</v>
      </c>
      <c r="K20" s="4" t="str">
        <f>TEXT(R20,"0.000")&amp;"
("&amp;TEXT(AD20,"0.000")&amp;")"</f>
        <v>−0.137
(0.129)</v>
      </c>
      <c r="L20" s="4" t="str">
        <f>TEXT(S20,"0.000")&amp;"
("&amp;TEXT(AE20,"0.000")&amp;")"</f>
        <v>0.155
(0.106)</v>
      </c>
      <c r="M20" s="3"/>
      <c r="N20" s="3"/>
      <c r="O20" s="3" t="s">
        <v>60</v>
      </c>
      <c r="P20" s="3">
        <v>0.22800000000000001</v>
      </c>
      <c r="Q20" s="3">
        <v>7.8E-2</v>
      </c>
      <c r="R20" s="3" t="s">
        <v>61</v>
      </c>
      <c r="S20" s="3">
        <v>0.155</v>
      </c>
      <c r="T20" s="3">
        <v>3.5000000000000003E-2</v>
      </c>
      <c r="U20" s="3">
        <v>5.8000000000000003E-2</v>
      </c>
      <c r="V20" s="3">
        <v>0.16400000000000001</v>
      </c>
      <c r="W20" s="3">
        <v>0.78</v>
      </c>
      <c r="X20" s="3">
        <v>1.7</v>
      </c>
      <c r="Y20" s="3">
        <v>0.39200000000000002</v>
      </c>
      <c r="Z20" s="3">
        <v>0.379</v>
      </c>
      <c r="AA20" s="3">
        <v>0.193</v>
      </c>
      <c r="AB20" s="3">
        <v>0.16200000000000001</v>
      </c>
      <c r="AC20" s="3">
        <v>9.4E-2</v>
      </c>
      <c r="AD20" s="3">
        <v>0.129</v>
      </c>
      <c r="AE20" s="3">
        <v>0.106</v>
      </c>
      <c r="AF20" s="3">
        <v>0.04</v>
      </c>
      <c r="AG20" s="3">
        <v>6.9000000000000006E-2</v>
      </c>
      <c r="AH20" s="3">
        <v>0.125</v>
      </c>
      <c r="AI20" s="3">
        <v>0.41499999999999998</v>
      </c>
      <c r="AJ20" s="3">
        <v>2.4569999999999999</v>
      </c>
      <c r="AK20" s="3">
        <v>0.106</v>
      </c>
      <c r="AL20" s="3">
        <v>0.10100000000000001</v>
      </c>
      <c r="AM20" s="3">
        <v>0.28000000000000003</v>
      </c>
      <c r="AN20" s="3">
        <v>0.188</v>
      </c>
    </row>
    <row r="21" spans="1:40" ht="30" x14ac:dyDescent="0.2">
      <c r="A21" s="3" t="s">
        <v>30</v>
      </c>
      <c r="B21" s="3" t="s">
        <v>57</v>
      </c>
      <c r="C21" s="3" t="s">
        <v>35</v>
      </c>
      <c r="D21" s="3">
        <v>4</v>
      </c>
      <c r="E21" s="4" t="str">
        <f>TEXT(O21,"0.000")&amp;"
("&amp;TEXT(AA21,"0.000")&amp;")"</f>
        <v>0.236
(0.155)</v>
      </c>
      <c r="F21" s="4" t="str">
        <f>TEXT(P21,"0.000")&amp;"
("&amp;TEXT(AB21,"0.000")&amp;")"</f>
        <v>0.244
(0.143)</v>
      </c>
      <c r="G21" s="5">
        <f>SQRT(Q21)</f>
        <v>0.28284271247461901</v>
      </c>
      <c r="H21" s="5">
        <f>+V21</f>
        <v>0.17799999999999999</v>
      </c>
      <c r="I21" s="5">
        <f>+W21</f>
        <v>0.68</v>
      </c>
      <c r="J21" s="5">
        <f>+X21</f>
        <v>2.004</v>
      </c>
      <c r="K21" s="4" t="str">
        <f>TEXT(R21,"0.000")&amp;"
("&amp;TEXT(AD21,"0.000")&amp;")"</f>
        <v>0.241
(0.162)</v>
      </c>
      <c r="L21" s="4" t="str">
        <f>TEXT(S21,"0.000")&amp;"
("&amp;TEXT(AE21,"0.000")&amp;")"</f>
        <v>0.248
(0.151)</v>
      </c>
      <c r="M21" s="3"/>
      <c r="N21" s="3"/>
      <c r="O21" s="3">
        <v>0.23599999999999999</v>
      </c>
      <c r="P21" s="3">
        <v>0.24399999999999999</v>
      </c>
      <c r="Q21" s="3">
        <v>0.08</v>
      </c>
      <c r="R21" s="3">
        <v>0.24099999999999999</v>
      </c>
      <c r="S21" s="3">
        <v>0.248</v>
      </c>
      <c r="T21" s="3">
        <v>8.4000000000000005E-2</v>
      </c>
      <c r="U21" s="3">
        <v>7.2999999999999995E-2</v>
      </c>
      <c r="V21" s="3">
        <v>0.17799999999999999</v>
      </c>
      <c r="W21" s="3">
        <v>0.68</v>
      </c>
      <c r="X21" s="3">
        <v>2.004</v>
      </c>
      <c r="Y21" s="3">
        <v>0.52800000000000002</v>
      </c>
      <c r="Z21" s="3">
        <v>0.46899999999999997</v>
      </c>
      <c r="AA21" s="3">
        <v>0.155</v>
      </c>
      <c r="AB21" s="3">
        <v>0.14299999999999999</v>
      </c>
      <c r="AC21" s="3">
        <v>8.3000000000000004E-2</v>
      </c>
      <c r="AD21" s="3">
        <v>0.16200000000000001</v>
      </c>
      <c r="AE21" s="3">
        <v>0.151</v>
      </c>
      <c r="AF21" s="3">
        <v>0.09</v>
      </c>
      <c r="AG21" s="3">
        <v>7.2999999999999995E-2</v>
      </c>
      <c r="AH21" s="3">
        <v>0.11899999999999999</v>
      </c>
      <c r="AI21" s="3">
        <v>0.46800000000000003</v>
      </c>
      <c r="AJ21" s="3">
        <v>2.8279999999999998</v>
      </c>
      <c r="AK21" s="3">
        <v>0.1</v>
      </c>
      <c r="AL21" s="3">
        <v>0.10199999999999999</v>
      </c>
      <c r="AM21" s="3">
        <v>0.28299999999999997</v>
      </c>
      <c r="AN21" s="3">
        <v>0.28999999999999998</v>
      </c>
    </row>
    <row r="22" spans="1:40" ht="30" x14ac:dyDescent="0.2">
      <c r="A22" s="3" t="s">
        <v>30</v>
      </c>
      <c r="B22" s="3" t="s">
        <v>57</v>
      </c>
      <c r="C22" s="3" t="s">
        <v>36</v>
      </c>
      <c r="D22" s="3">
        <v>4</v>
      </c>
      <c r="E22" s="4" t="str">
        <f>TEXT(O22,"0.000")&amp;"
("&amp;TEXT(AA22,"0.000")&amp;")"</f>
        <v>0.266
(0.156)</v>
      </c>
      <c r="F22" s="4" t="str">
        <f>TEXT(P22,"0.000")&amp;"
("&amp;TEXT(AB22,"0.000")&amp;")"</f>
        <v>0.272
(0.147)</v>
      </c>
      <c r="G22" s="5">
        <f>SQRT(Q22)</f>
        <v>0.30822070014844882</v>
      </c>
      <c r="H22" s="5">
        <f>+V22</f>
        <v>0.20699999999999999</v>
      </c>
      <c r="I22" s="5">
        <f>+W22</f>
        <v>0.6</v>
      </c>
      <c r="J22" s="5">
        <f>+X22</f>
        <v>2.7229999999999999</v>
      </c>
      <c r="K22" s="4" t="str">
        <f>TEXT(R22,"0.000")&amp;"
("&amp;TEXT(AD22,"0.000")&amp;")"</f>
        <v>0.279
(0.168)</v>
      </c>
      <c r="L22" s="4" t="str">
        <f>TEXT(S22,"0.000")&amp;"
("&amp;TEXT(AE22,"0.000")&amp;")"</f>
        <v>0.284
(0.159)</v>
      </c>
      <c r="M22" s="3"/>
      <c r="N22" s="3"/>
      <c r="O22" s="3">
        <v>0.26600000000000001</v>
      </c>
      <c r="P22" s="3">
        <v>0.27200000000000002</v>
      </c>
      <c r="Q22" s="3">
        <v>9.5000000000000001E-2</v>
      </c>
      <c r="R22" s="3">
        <v>0.27900000000000003</v>
      </c>
      <c r="S22" s="3">
        <v>0.28399999999999997</v>
      </c>
      <c r="T22" s="3">
        <v>0.106</v>
      </c>
      <c r="U22" s="3">
        <v>8.7999999999999995E-2</v>
      </c>
      <c r="V22" s="3">
        <v>0.20699999999999999</v>
      </c>
      <c r="W22" s="3">
        <v>0.6</v>
      </c>
      <c r="X22" s="3">
        <v>2.7229999999999999</v>
      </c>
      <c r="Y22" s="3">
        <v>0.52500000000000002</v>
      </c>
      <c r="Z22" s="3">
        <v>0.47199999999999998</v>
      </c>
      <c r="AA22" s="3">
        <v>0.156</v>
      </c>
      <c r="AB22" s="3">
        <v>0.14699999999999999</v>
      </c>
      <c r="AC22" s="3">
        <v>9.2999999999999999E-2</v>
      </c>
      <c r="AD22" s="3">
        <v>0.16800000000000001</v>
      </c>
      <c r="AE22" s="3">
        <v>0.159</v>
      </c>
      <c r="AF22" s="3">
        <v>0.106</v>
      </c>
      <c r="AG22" s="3">
        <v>8.2000000000000003E-2</v>
      </c>
      <c r="AH22" s="3">
        <v>0.13100000000000001</v>
      </c>
      <c r="AI22" s="3">
        <v>0.49099999999999999</v>
      </c>
      <c r="AJ22" s="3">
        <v>3.4620000000000002</v>
      </c>
      <c r="AK22" s="3">
        <v>0.10100000000000001</v>
      </c>
      <c r="AL22" s="3">
        <v>0.10100000000000001</v>
      </c>
      <c r="AM22" s="3">
        <v>0.309</v>
      </c>
      <c r="AN22" s="3">
        <v>0.32500000000000001</v>
      </c>
    </row>
    <row r="23" spans="1:40" ht="30" x14ac:dyDescent="0.2">
      <c r="A23" s="3" t="s">
        <v>30</v>
      </c>
      <c r="B23" s="3" t="s">
        <v>57</v>
      </c>
      <c r="C23" s="3" t="s">
        <v>37</v>
      </c>
      <c r="D23" s="3">
        <v>4</v>
      </c>
      <c r="E23" s="4" t="str">
        <f>TEXT(O23,"0.000")&amp;"
("&amp;TEXT(AA23,"0.000")&amp;")"</f>
        <v>0.118
(0.168)</v>
      </c>
      <c r="F23" s="4" t="str">
        <f>TEXT(P23,"0.000")&amp;"
("&amp;TEXT(AB23,"0.000")&amp;")"</f>
        <v>0.165
(0.121)</v>
      </c>
      <c r="G23" s="5">
        <f>SQRT(Q23)</f>
        <v>0.20493901531919198</v>
      </c>
      <c r="H23" s="5">
        <f>+V23</f>
        <v>0.11799999999999999</v>
      </c>
      <c r="I23" s="5">
        <f>+W23</f>
        <v>0.92500000000000004</v>
      </c>
      <c r="J23" s="5">
        <f>+X23</f>
        <v>0.95499999999999996</v>
      </c>
      <c r="K23" s="4" t="str">
        <f>TEXT(R23,"0.000")&amp;"
("&amp;TEXT(AD23,"0.000")&amp;")"</f>
        <v>0.108
(0.152)</v>
      </c>
      <c r="L23" s="4" t="str">
        <f>TEXT(S23,"0.000")&amp;"
("&amp;TEXT(AE23,"0.000")&amp;")"</f>
        <v>0.149
(0.112)</v>
      </c>
      <c r="M23" s="3"/>
      <c r="N23" s="3"/>
      <c r="O23" s="3">
        <v>0.11799999999999999</v>
      </c>
      <c r="P23" s="3">
        <v>0.16500000000000001</v>
      </c>
      <c r="Q23" s="3">
        <v>4.2000000000000003E-2</v>
      </c>
      <c r="R23" s="3">
        <v>0.108</v>
      </c>
      <c r="S23" s="3">
        <v>0.14899999999999999</v>
      </c>
      <c r="T23" s="3">
        <v>3.5000000000000003E-2</v>
      </c>
      <c r="U23" s="3">
        <v>3.5000000000000003E-2</v>
      </c>
      <c r="V23" s="3">
        <v>0.11799999999999999</v>
      </c>
      <c r="W23" s="3">
        <v>0.92500000000000004</v>
      </c>
      <c r="X23" s="3">
        <v>0.95499999999999996</v>
      </c>
      <c r="Y23" s="3">
        <v>0.53</v>
      </c>
      <c r="Z23" s="3">
        <v>0.48099999999999998</v>
      </c>
      <c r="AA23" s="3">
        <v>0.16800000000000001</v>
      </c>
      <c r="AB23" s="3">
        <v>0.121</v>
      </c>
      <c r="AC23" s="3">
        <v>5.7000000000000002E-2</v>
      </c>
      <c r="AD23" s="3">
        <v>0.152</v>
      </c>
      <c r="AE23" s="3">
        <v>0.112</v>
      </c>
      <c r="AF23" s="3">
        <v>4.8000000000000001E-2</v>
      </c>
      <c r="AG23" s="3">
        <v>4.5999999999999999E-2</v>
      </c>
      <c r="AH23" s="3">
        <v>8.7999999999999995E-2</v>
      </c>
      <c r="AI23" s="3">
        <v>0.26400000000000001</v>
      </c>
      <c r="AJ23" s="3">
        <v>1.3779999999999999</v>
      </c>
      <c r="AK23" s="3">
        <v>0.1</v>
      </c>
      <c r="AL23" s="3">
        <v>9.9000000000000005E-2</v>
      </c>
      <c r="AM23" s="3">
        <v>0.20499999999999999</v>
      </c>
      <c r="AN23" s="3">
        <v>0.187</v>
      </c>
    </row>
    <row r="24" spans="1:40" ht="30" x14ac:dyDescent="0.2">
      <c r="A24" s="3" t="s">
        <v>30</v>
      </c>
      <c r="B24" s="3" t="s">
        <v>57</v>
      </c>
      <c r="C24" s="3" t="s">
        <v>38</v>
      </c>
      <c r="D24" s="3">
        <v>4</v>
      </c>
      <c r="E24" s="4" t="str">
        <f>TEXT(O24,"0.000")&amp;"
("&amp;TEXT(AA24,"0.000")&amp;")"</f>
        <v>0.135
(0.165)</v>
      </c>
      <c r="F24" s="4" t="str">
        <f>TEXT(P24,"0.000")&amp;"
("&amp;TEXT(AB24,"0.000")&amp;")"</f>
        <v>0.171
(0.127)</v>
      </c>
      <c r="G24" s="5">
        <f>SQRT(Q24)</f>
        <v>0.21213203435596426</v>
      </c>
      <c r="H24" s="5">
        <f>+V24</f>
        <v>0.124</v>
      </c>
      <c r="I24" s="5">
        <f>+W24</f>
        <v>0.90500000000000003</v>
      </c>
      <c r="J24" s="5">
        <f>+X24</f>
        <v>1.0149999999999999</v>
      </c>
      <c r="K24" s="4" t="str">
        <f>TEXT(R24,"0.000")&amp;"
("&amp;TEXT(AD24,"0.000")&amp;")"</f>
        <v>0.126
(0.153)</v>
      </c>
      <c r="L24" s="4" t="str">
        <f>TEXT(S24,"0.000")&amp;"
("&amp;TEXT(AE24,"0.000")&amp;")"</f>
        <v>0.158
(0.119)</v>
      </c>
      <c r="M24" s="3"/>
      <c r="N24" s="3"/>
      <c r="O24" s="3">
        <v>0.13500000000000001</v>
      </c>
      <c r="P24" s="3">
        <v>0.17100000000000001</v>
      </c>
      <c r="Q24" s="3">
        <v>4.4999999999999998E-2</v>
      </c>
      <c r="R24" s="3">
        <v>0.126</v>
      </c>
      <c r="S24" s="3">
        <v>0.158</v>
      </c>
      <c r="T24" s="3">
        <v>3.9E-2</v>
      </c>
      <c r="U24" s="3">
        <v>3.7999999999999999E-2</v>
      </c>
      <c r="V24" s="3">
        <v>0.124</v>
      </c>
      <c r="W24" s="3">
        <v>0.90500000000000003</v>
      </c>
      <c r="X24" s="3">
        <v>1.0149999999999999</v>
      </c>
      <c r="Y24" s="3">
        <v>0.52800000000000002</v>
      </c>
      <c r="Z24" s="3">
        <v>0.47899999999999998</v>
      </c>
      <c r="AA24" s="3">
        <v>0.16500000000000001</v>
      </c>
      <c r="AB24" s="3">
        <v>0.127</v>
      </c>
      <c r="AC24" s="3">
        <v>6.2E-2</v>
      </c>
      <c r="AD24" s="3">
        <v>0.153</v>
      </c>
      <c r="AE24" s="3">
        <v>0.11899999999999999</v>
      </c>
      <c r="AF24" s="3">
        <v>5.3999999999999999E-2</v>
      </c>
      <c r="AG24" s="3">
        <v>0.05</v>
      </c>
      <c r="AH24" s="3">
        <v>9.2999999999999999E-2</v>
      </c>
      <c r="AI24" s="3">
        <v>0.29399999999999998</v>
      </c>
      <c r="AJ24" s="3">
        <v>1.31</v>
      </c>
      <c r="AK24" s="3">
        <v>0.10199999999999999</v>
      </c>
      <c r="AL24" s="3">
        <v>9.9000000000000005E-2</v>
      </c>
      <c r="AM24" s="3">
        <v>0.21299999999999999</v>
      </c>
      <c r="AN24" s="3">
        <v>0.19700000000000001</v>
      </c>
    </row>
    <row r="25" spans="1:40" ht="30" x14ac:dyDescent="0.2">
      <c r="A25" s="3" t="s">
        <v>30</v>
      </c>
      <c r="B25" s="3" t="s">
        <v>57</v>
      </c>
      <c r="C25" s="3" t="s">
        <v>39</v>
      </c>
      <c r="D25" s="3">
        <v>4</v>
      </c>
      <c r="E25" s="4" t="str">
        <f>TEXT(O25,"0.000")&amp;"
("&amp;TEXT(AA25,"0.000")&amp;")"</f>
        <v>0.115
(0.154)</v>
      </c>
      <c r="F25" s="4" t="str">
        <f>TEXT(P25,"0.000")&amp;"
("&amp;TEXT(AB25,"0.000")&amp;")"</f>
        <v>0.155
(0.114)</v>
      </c>
      <c r="G25" s="5">
        <f>SQRT(Q25)</f>
        <v>0.19235384061671346</v>
      </c>
      <c r="H25" s="5">
        <f>+V25</f>
        <v>0.111</v>
      </c>
      <c r="I25" s="5">
        <f>+W25</f>
        <v>0.93</v>
      </c>
      <c r="J25" s="5">
        <f>+X25</f>
        <v>0.86299999999999999</v>
      </c>
      <c r="K25" s="4" t="str">
        <f>TEXT(R25,"0.000")&amp;"
("&amp;TEXT(AD25,"0.000")&amp;")"</f>
        <v>0.104
(0.139)</v>
      </c>
      <c r="L25" s="4" t="str">
        <f>TEXT(S25,"0.000")&amp;"
("&amp;TEXT(AE25,"0.000")&amp;")"</f>
        <v>0.139
(0.104)</v>
      </c>
      <c r="M25" s="3"/>
      <c r="N25" s="3"/>
      <c r="O25" s="3">
        <v>0.115</v>
      </c>
      <c r="P25" s="3">
        <v>0.155</v>
      </c>
      <c r="Q25" s="3">
        <v>3.6999999999999998E-2</v>
      </c>
      <c r="R25" s="3">
        <v>0.104</v>
      </c>
      <c r="S25" s="3">
        <v>0.13900000000000001</v>
      </c>
      <c r="T25" s="3">
        <v>0.03</v>
      </c>
      <c r="U25" s="3">
        <v>3.1E-2</v>
      </c>
      <c r="V25" s="3">
        <v>0.111</v>
      </c>
      <c r="W25" s="3">
        <v>0.93</v>
      </c>
      <c r="X25" s="3">
        <v>0.86299999999999999</v>
      </c>
      <c r="Y25" s="3">
        <v>0.54400000000000004</v>
      </c>
      <c r="Z25" s="3">
        <v>0.48799999999999999</v>
      </c>
      <c r="AA25" s="3">
        <v>0.154</v>
      </c>
      <c r="AB25" s="3">
        <v>0.114</v>
      </c>
      <c r="AC25" s="3">
        <v>0.05</v>
      </c>
      <c r="AD25" s="3">
        <v>0.13900000000000001</v>
      </c>
      <c r="AE25" s="3">
        <v>0.104</v>
      </c>
      <c r="AF25" s="3">
        <v>4.1000000000000002E-2</v>
      </c>
      <c r="AG25" s="3">
        <v>0.04</v>
      </c>
      <c r="AH25" s="3">
        <v>8.2000000000000003E-2</v>
      </c>
      <c r="AI25" s="3">
        <v>0.25600000000000001</v>
      </c>
      <c r="AJ25" s="3">
        <v>1.1200000000000001</v>
      </c>
      <c r="AK25" s="3">
        <v>9.8000000000000004E-2</v>
      </c>
      <c r="AL25" s="3">
        <v>9.7000000000000003E-2</v>
      </c>
      <c r="AM25" s="3">
        <v>0.192</v>
      </c>
      <c r="AN25" s="3">
        <v>0.17399999999999999</v>
      </c>
    </row>
    <row r="26" spans="1:40" ht="30" x14ac:dyDescent="0.2">
      <c r="A26" s="3" t="s">
        <v>30</v>
      </c>
      <c r="B26" s="3" t="s">
        <v>62</v>
      </c>
      <c r="C26" s="3" t="s">
        <v>32</v>
      </c>
      <c r="D26" s="3">
        <v>0</v>
      </c>
      <c r="E26" s="4" t="str">
        <f>TEXT(O26,"0.000")&amp;"
("&amp;TEXT(AA26,"0.000")&amp;")"</f>
        <v>−0.002
(0.063)</v>
      </c>
      <c r="F26" s="4" t="str">
        <f>TEXT(P26,"0.000")&amp;"
("&amp;TEXT(AB26,"0.000")&amp;")"</f>
        <v>0.052
(0.035)</v>
      </c>
      <c r="G26" s="5">
        <f>SQRT(Q26)</f>
        <v>6.3245553203367583E-2</v>
      </c>
      <c r="H26" s="5">
        <f>+V26</f>
        <v>3.5999999999999997E-2</v>
      </c>
      <c r="I26" s="5">
        <f>+W26</f>
        <v>0.96</v>
      </c>
      <c r="J26" s="5">
        <f>+X26</f>
        <v>0.26400000000000001</v>
      </c>
      <c r="K26" s="4" t="str">
        <f>TEXT(R26,"0.000")&amp;"
("&amp;TEXT(AD26,"0.000")&amp;")"</f>
        <v>−0.003
(0.249)</v>
      </c>
      <c r="L26" s="4" t="str">
        <f>TEXT(S26,"0.000")&amp;"
("&amp;TEXT(AE26,"0.000")&amp;")"</f>
        <v>0.207
(0.138)</v>
      </c>
      <c r="M26" s="3"/>
      <c r="N26" s="3"/>
      <c r="O26" s="3" t="s">
        <v>63</v>
      </c>
      <c r="P26" s="3">
        <v>5.1999999999999998E-2</v>
      </c>
      <c r="Q26" s="3">
        <v>4.0000000000000001E-3</v>
      </c>
      <c r="R26" s="3" t="s">
        <v>40</v>
      </c>
      <c r="S26" s="3">
        <v>0.20699999999999999</v>
      </c>
      <c r="T26" s="3">
        <v>6.2E-2</v>
      </c>
      <c r="U26" s="3">
        <v>1.6E-2</v>
      </c>
      <c r="V26" s="3">
        <v>3.5999999999999997E-2</v>
      </c>
      <c r="W26" s="3">
        <v>0.96</v>
      </c>
      <c r="X26" s="3">
        <v>0.26400000000000001</v>
      </c>
      <c r="Y26" s="3">
        <v>0.161</v>
      </c>
      <c r="Z26" s="3">
        <v>0.17899999999999999</v>
      </c>
      <c r="AA26" s="3">
        <v>6.3E-2</v>
      </c>
      <c r="AB26" s="3">
        <v>3.5000000000000003E-2</v>
      </c>
      <c r="AC26" s="3">
        <v>5.0000000000000001E-3</v>
      </c>
      <c r="AD26" s="3">
        <v>0.249</v>
      </c>
      <c r="AE26" s="3">
        <v>0.13800000000000001</v>
      </c>
      <c r="AF26" s="3">
        <v>7.3999999999999996E-2</v>
      </c>
      <c r="AG26" s="3">
        <v>1.9E-2</v>
      </c>
      <c r="AH26" s="3">
        <v>2.4E-2</v>
      </c>
      <c r="AI26" s="3">
        <v>0.19600000000000001</v>
      </c>
      <c r="AJ26" s="3">
        <v>0.255</v>
      </c>
      <c r="AK26" s="3">
        <v>0.111</v>
      </c>
      <c r="AL26" s="3">
        <v>9.9000000000000005E-2</v>
      </c>
      <c r="AM26" s="3">
        <v>6.2E-2</v>
      </c>
      <c r="AN26" s="3">
        <v>0.248</v>
      </c>
    </row>
    <row r="27" spans="1:40" ht="30" x14ac:dyDescent="0.2">
      <c r="A27" s="3" t="s">
        <v>30</v>
      </c>
      <c r="B27" s="3" t="s">
        <v>62</v>
      </c>
      <c r="C27" s="3" t="s">
        <v>35</v>
      </c>
      <c r="D27" s="3">
        <v>0</v>
      </c>
      <c r="E27" s="4" t="str">
        <f>TEXT(O27,"0.000")&amp;"
("&amp;TEXT(AA27,"0.000")&amp;")"</f>
        <v>0.026
(0.060)</v>
      </c>
      <c r="F27" s="4" t="str">
        <f>TEXT(P27,"0.000")&amp;"
("&amp;TEXT(AB27,"0.000")&amp;")"</f>
        <v>0.053
(0.038)</v>
      </c>
      <c r="G27" s="5">
        <f>SQRT(Q27)</f>
        <v>6.3245553203367583E-2</v>
      </c>
      <c r="H27" s="5">
        <f>+V27</f>
        <v>3.7999999999999999E-2</v>
      </c>
      <c r="I27" s="5">
        <f>+W27</f>
        <v>0.92500000000000004</v>
      </c>
      <c r="J27" s="5">
        <f>+X27</f>
        <v>0.28199999999999997</v>
      </c>
      <c r="K27" s="4" t="str">
        <f>TEXT(R27,"0.000")&amp;"
("&amp;TEXT(AD27,"0.000")&amp;")"</f>
        <v>0.117
(0.271)</v>
      </c>
      <c r="L27" s="4" t="str">
        <f>TEXT(S27,"0.000")&amp;"
("&amp;TEXT(AE27,"0.000")&amp;")"</f>
        <v>0.240
(0.172)</v>
      </c>
      <c r="M27" s="3"/>
      <c r="N27" s="3"/>
      <c r="O27" s="3">
        <v>2.5999999999999999E-2</v>
      </c>
      <c r="P27" s="3">
        <v>5.2999999999999999E-2</v>
      </c>
      <c r="Q27" s="3">
        <v>4.0000000000000001E-3</v>
      </c>
      <c r="R27" s="3">
        <v>0.11700000000000001</v>
      </c>
      <c r="S27" s="3">
        <v>0.24</v>
      </c>
      <c r="T27" s="3">
        <v>8.6999999999999994E-2</v>
      </c>
      <c r="U27" s="3">
        <v>1.7999999999999999E-2</v>
      </c>
      <c r="V27" s="3">
        <v>3.7999999999999999E-2</v>
      </c>
      <c r="W27" s="3">
        <v>0.92500000000000004</v>
      </c>
      <c r="X27" s="3">
        <v>0.28199999999999997</v>
      </c>
      <c r="Y27" s="3">
        <v>0.25900000000000001</v>
      </c>
      <c r="Z27" s="3">
        <v>0.23499999999999999</v>
      </c>
      <c r="AA27" s="3">
        <v>0.06</v>
      </c>
      <c r="AB27" s="3">
        <v>3.7999999999999999E-2</v>
      </c>
      <c r="AC27" s="3">
        <v>5.0000000000000001E-3</v>
      </c>
      <c r="AD27" s="3">
        <v>0.27100000000000002</v>
      </c>
      <c r="AE27" s="3">
        <v>0.17199999999999999</v>
      </c>
      <c r="AF27" s="3">
        <v>0.11</v>
      </c>
      <c r="AG27" s="3">
        <v>2.1000000000000001E-2</v>
      </c>
      <c r="AH27" s="3">
        <v>2.7E-2</v>
      </c>
      <c r="AI27" s="3">
        <v>0.26400000000000001</v>
      </c>
      <c r="AJ27" s="3">
        <v>0.29499999999999998</v>
      </c>
      <c r="AK27" s="3">
        <v>0.115</v>
      </c>
      <c r="AL27" s="3">
        <v>0.105</v>
      </c>
      <c r="AM27" s="3">
        <v>6.6000000000000003E-2</v>
      </c>
      <c r="AN27" s="3">
        <v>0.29499999999999998</v>
      </c>
    </row>
    <row r="28" spans="1:40" ht="30" x14ac:dyDescent="0.2">
      <c r="A28" s="3" t="s">
        <v>30</v>
      </c>
      <c r="B28" s="3" t="s">
        <v>62</v>
      </c>
      <c r="C28" s="3" t="s">
        <v>36</v>
      </c>
      <c r="D28" s="3">
        <v>0</v>
      </c>
      <c r="E28" s="4" t="str">
        <f>TEXT(O28,"0.000")&amp;"
("&amp;TEXT(AA28,"0.000")&amp;")"</f>
        <v>0.031
(0.060)</v>
      </c>
      <c r="F28" s="4" t="str">
        <f>TEXT(P28,"0.000")&amp;"
("&amp;TEXT(AB28,"0.000")&amp;")"</f>
        <v>0.054
(0.041)</v>
      </c>
      <c r="G28" s="5">
        <f>SQRT(Q28)</f>
        <v>7.0710678118654752E-2</v>
      </c>
      <c r="H28" s="5">
        <f>+V28</f>
        <v>3.9E-2</v>
      </c>
      <c r="I28" s="5">
        <f>+W28</f>
        <v>0.9</v>
      </c>
      <c r="J28" s="5">
        <f>+X28</f>
        <v>0.32100000000000001</v>
      </c>
      <c r="K28" s="4" t="str">
        <f>TEXT(R28,"0.000")&amp;"
("&amp;TEXT(AD28,"0.000")&amp;")"</f>
        <v>0.145
(0.277)</v>
      </c>
      <c r="L28" s="4" t="str">
        <f>TEXT(S28,"0.000")&amp;"
("&amp;TEXT(AE28,"0.000")&amp;")"</f>
        <v>0.250
(0.188)</v>
      </c>
      <c r="M28" s="3"/>
      <c r="N28" s="3"/>
      <c r="O28" s="3">
        <v>3.1E-2</v>
      </c>
      <c r="P28" s="3">
        <v>5.3999999999999999E-2</v>
      </c>
      <c r="Q28" s="3">
        <v>5.0000000000000001E-3</v>
      </c>
      <c r="R28" s="3">
        <v>0.14499999999999999</v>
      </c>
      <c r="S28" s="3">
        <v>0.25</v>
      </c>
      <c r="T28" s="3">
        <v>9.8000000000000004E-2</v>
      </c>
      <c r="U28" s="3">
        <v>1.9E-2</v>
      </c>
      <c r="V28" s="3">
        <v>3.9E-2</v>
      </c>
      <c r="W28" s="3">
        <v>0.9</v>
      </c>
      <c r="X28" s="3">
        <v>0.32100000000000001</v>
      </c>
      <c r="Y28" s="3">
        <v>0.26400000000000001</v>
      </c>
      <c r="Z28" s="3">
        <v>0.24099999999999999</v>
      </c>
      <c r="AA28" s="3">
        <v>0.06</v>
      </c>
      <c r="AB28" s="3">
        <v>4.1000000000000002E-2</v>
      </c>
      <c r="AC28" s="3">
        <v>6.0000000000000001E-3</v>
      </c>
      <c r="AD28" s="3">
        <v>0.27700000000000002</v>
      </c>
      <c r="AE28" s="3">
        <v>0.188</v>
      </c>
      <c r="AF28" s="3">
        <v>0.126</v>
      </c>
      <c r="AG28" s="3">
        <v>2.3E-2</v>
      </c>
      <c r="AH28" s="3">
        <v>0.03</v>
      </c>
      <c r="AI28" s="3">
        <v>0.30099999999999999</v>
      </c>
      <c r="AJ28" s="3">
        <v>0.42299999999999999</v>
      </c>
      <c r="AK28" s="3">
        <v>0.11700000000000001</v>
      </c>
      <c r="AL28" s="3">
        <v>0.104</v>
      </c>
      <c r="AM28" s="3">
        <v>6.8000000000000005E-2</v>
      </c>
      <c r="AN28" s="3">
        <v>0.313</v>
      </c>
    </row>
    <row r="29" spans="1:40" ht="30" x14ac:dyDescent="0.2">
      <c r="A29" s="3" t="s">
        <v>30</v>
      </c>
      <c r="B29" s="3" t="s">
        <v>62</v>
      </c>
      <c r="C29" s="3" t="s">
        <v>37</v>
      </c>
      <c r="D29" s="3">
        <v>0</v>
      </c>
      <c r="E29" s="4" t="str">
        <f>TEXT(O29,"0.000")&amp;"
("&amp;TEXT(AA29,"0.000")&amp;")"</f>
        <v>0.020
(0.061)</v>
      </c>
      <c r="F29" s="4" t="str">
        <f>TEXT(P29,"0.000")&amp;"
("&amp;TEXT(AB29,"0.000")&amp;")"</f>
        <v>0.052
(0.037)</v>
      </c>
      <c r="G29" s="5">
        <f>SQRT(Q29)</f>
        <v>6.3245553203367583E-2</v>
      </c>
      <c r="H29" s="5">
        <f>+V29</f>
        <v>3.6999999999999998E-2</v>
      </c>
      <c r="I29" s="5">
        <f>+W29</f>
        <v>0.93</v>
      </c>
      <c r="J29" s="5">
        <f>+X29</f>
        <v>0.28399999999999997</v>
      </c>
      <c r="K29" s="4" t="str">
        <f>TEXT(R29,"0.000")&amp;"
("&amp;TEXT(AD29,"0.000")&amp;")"</f>
        <v>0.090
(0.265)</v>
      </c>
      <c r="L29" s="4" t="str">
        <f>TEXT(S29,"0.000")&amp;"
("&amp;TEXT(AE29,"0.000")&amp;")"</f>
        <v>0.228
(0.162)</v>
      </c>
      <c r="M29" s="3"/>
      <c r="N29" s="3"/>
      <c r="O29" s="3">
        <v>0.02</v>
      </c>
      <c r="P29" s="3">
        <v>5.1999999999999998E-2</v>
      </c>
      <c r="Q29" s="3">
        <v>4.0000000000000001E-3</v>
      </c>
      <c r="R29" s="3">
        <v>0.09</v>
      </c>
      <c r="S29" s="3">
        <v>0.22800000000000001</v>
      </c>
      <c r="T29" s="3">
        <v>7.8E-2</v>
      </c>
      <c r="U29" s="3">
        <v>1.7000000000000001E-2</v>
      </c>
      <c r="V29" s="3">
        <v>3.6999999999999998E-2</v>
      </c>
      <c r="W29" s="3">
        <v>0.93</v>
      </c>
      <c r="X29" s="3">
        <v>0.28399999999999997</v>
      </c>
      <c r="Y29" s="3">
        <v>0.248</v>
      </c>
      <c r="Z29" s="3">
        <v>0.24299999999999999</v>
      </c>
      <c r="AA29" s="3">
        <v>6.0999999999999999E-2</v>
      </c>
      <c r="AB29" s="3">
        <v>3.6999999999999998E-2</v>
      </c>
      <c r="AC29" s="3">
        <v>5.0000000000000001E-3</v>
      </c>
      <c r="AD29" s="3">
        <v>0.26500000000000001</v>
      </c>
      <c r="AE29" s="3">
        <v>0.16200000000000001</v>
      </c>
      <c r="AF29" s="3">
        <v>9.9000000000000005E-2</v>
      </c>
      <c r="AG29" s="3">
        <v>0.02</v>
      </c>
      <c r="AH29" s="3">
        <v>2.5999999999999999E-2</v>
      </c>
      <c r="AI29" s="3">
        <v>0.25600000000000001</v>
      </c>
      <c r="AJ29" s="3">
        <v>0.33400000000000002</v>
      </c>
      <c r="AK29" s="3">
        <v>0.104</v>
      </c>
      <c r="AL29" s="3">
        <v>0.1</v>
      </c>
      <c r="AM29" s="3">
        <v>6.4000000000000001E-2</v>
      </c>
      <c r="AN29" s="3">
        <v>0.27900000000000003</v>
      </c>
    </row>
    <row r="30" spans="1:40" ht="30" x14ac:dyDescent="0.2">
      <c r="A30" s="3" t="s">
        <v>30</v>
      </c>
      <c r="B30" s="3" t="s">
        <v>62</v>
      </c>
      <c r="C30" s="3" t="s">
        <v>38</v>
      </c>
      <c r="D30" s="3">
        <v>0</v>
      </c>
      <c r="E30" s="4" t="str">
        <f>TEXT(O30,"0.000")&amp;"
("&amp;TEXT(AA30,"0.000")&amp;")"</f>
        <v>0.019
(0.060)</v>
      </c>
      <c r="F30" s="4" t="str">
        <f>TEXT(P30,"0.000")&amp;"
("&amp;TEXT(AB30,"0.000")&amp;")"</f>
        <v>0.051
(0.036)</v>
      </c>
      <c r="G30" s="5">
        <f>SQRT(Q30)</f>
        <v>6.3245553203367583E-2</v>
      </c>
      <c r="H30" s="5">
        <f>+V30</f>
        <v>3.5999999999999997E-2</v>
      </c>
      <c r="I30" s="5">
        <f>+W30</f>
        <v>0.94499999999999995</v>
      </c>
      <c r="J30" s="5">
        <f>+X30</f>
        <v>0.27200000000000002</v>
      </c>
      <c r="K30" s="4" t="str">
        <f>TEXT(R30,"0.000")&amp;"
("&amp;TEXT(AD30,"0.000")&amp;")"</f>
        <v>0.083
(0.261)</v>
      </c>
      <c r="L30" s="4" t="str">
        <f>TEXT(S30,"0.000")&amp;"
("&amp;TEXT(AE30,"0.000")&amp;")"</f>
        <v>0.223
(0.158)</v>
      </c>
      <c r="M30" s="3"/>
      <c r="N30" s="3"/>
      <c r="O30" s="3">
        <v>1.9E-2</v>
      </c>
      <c r="P30" s="3">
        <v>5.0999999999999997E-2</v>
      </c>
      <c r="Q30" s="3">
        <v>4.0000000000000001E-3</v>
      </c>
      <c r="R30" s="3">
        <v>8.3000000000000004E-2</v>
      </c>
      <c r="S30" s="3">
        <v>0.223</v>
      </c>
      <c r="T30" s="3">
        <v>7.4999999999999997E-2</v>
      </c>
      <c r="U30" s="3">
        <v>1.6E-2</v>
      </c>
      <c r="V30" s="3">
        <v>3.5999999999999997E-2</v>
      </c>
      <c r="W30" s="3">
        <v>0.94499999999999995</v>
      </c>
      <c r="X30" s="3">
        <v>0.27200000000000002</v>
      </c>
      <c r="Y30" s="3">
        <v>0.25900000000000001</v>
      </c>
      <c r="Z30" s="3">
        <v>0.248</v>
      </c>
      <c r="AA30" s="3">
        <v>0.06</v>
      </c>
      <c r="AB30" s="3">
        <v>3.5999999999999997E-2</v>
      </c>
      <c r="AC30" s="3">
        <v>5.0000000000000001E-3</v>
      </c>
      <c r="AD30" s="3">
        <v>0.26100000000000001</v>
      </c>
      <c r="AE30" s="3">
        <v>0.158</v>
      </c>
      <c r="AF30" s="3">
        <v>9.5000000000000001E-2</v>
      </c>
      <c r="AG30" s="3">
        <v>1.9E-2</v>
      </c>
      <c r="AH30" s="3">
        <v>2.5000000000000001E-2</v>
      </c>
      <c r="AI30" s="3">
        <v>0.22900000000000001</v>
      </c>
      <c r="AJ30" s="3">
        <v>0.26600000000000001</v>
      </c>
      <c r="AK30" s="3">
        <v>0.106</v>
      </c>
      <c r="AL30" s="3">
        <v>9.9000000000000005E-2</v>
      </c>
      <c r="AM30" s="3">
        <v>6.3E-2</v>
      </c>
      <c r="AN30" s="3">
        <v>0.27300000000000002</v>
      </c>
    </row>
    <row r="31" spans="1:40" ht="30" x14ac:dyDescent="0.2">
      <c r="A31" s="3" t="s">
        <v>30</v>
      </c>
      <c r="B31" s="3" t="s">
        <v>62</v>
      </c>
      <c r="C31" s="3" t="s">
        <v>39</v>
      </c>
      <c r="D31" s="3">
        <v>0</v>
      </c>
      <c r="E31" s="4" t="str">
        <f>TEXT(O31,"0.000")&amp;"
("&amp;TEXT(AA31,"0.000")&amp;")"</f>
        <v>0.003
(0.061)</v>
      </c>
      <c r="F31" s="4" t="str">
        <f>TEXT(P31,"0.000")&amp;"
("&amp;TEXT(AB31,"0.000")&amp;")"</f>
        <v>0.051
(0.033)</v>
      </c>
      <c r="G31" s="5">
        <f>SQRT(Q31)</f>
        <v>6.3245553203367583E-2</v>
      </c>
      <c r="H31" s="5">
        <f>+V31</f>
        <v>3.5000000000000003E-2</v>
      </c>
      <c r="I31" s="5">
        <f>+W31</f>
        <v>0.94499999999999995</v>
      </c>
      <c r="J31" s="5">
        <f>+X31</f>
        <v>0.26200000000000001</v>
      </c>
      <c r="K31" s="4" t="str">
        <f>TEXT(R31,"0.000")&amp;"
("&amp;TEXT(AD31,"0.000")&amp;")"</f>
        <v>0.015
(0.247)</v>
      </c>
      <c r="L31" s="4" t="str">
        <f>TEXT(S31,"0.000")&amp;"
("&amp;TEXT(AE31,"0.000")&amp;")"</f>
        <v>0.206
(0.136)</v>
      </c>
      <c r="M31" s="3"/>
      <c r="N31" s="3"/>
      <c r="O31" s="3">
        <v>3.0000000000000001E-3</v>
      </c>
      <c r="P31" s="3">
        <v>5.0999999999999997E-2</v>
      </c>
      <c r="Q31" s="3">
        <v>4.0000000000000001E-3</v>
      </c>
      <c r="R31" s="3">
        <v>1.4999999999999999E-2</v>
      </c>
      <c r="S31" s="3">
        <v>0.20599999999999999</v>
      </c>
      <c r="T31" s="3">
        <v>6.0999999999999999E-2</v>
      </c>
      <c r="U31" s="3">
        <v>1.4999999999999999E-2</v>
      </c>
      <c r="V31" s="3">
        <v>3.5000000000000003E-2</v>
      </c>
      <c r="W31" s="3">
        <v>0.94499999999999995</v>
      </c>
      <c r="X31" s="3">
        <v>0.26200000000000001</v>
      </c>
      <c r="Y31" s="3">
        <v>0.27100000000000002</v>
      </c>
      <c r="Z31" s="3">
        <v>0.255</v>
      </c>
      <c r="AA31" s="3">
        <v>6.0999999999999999E-2</v>
      </c>
      <c r="AB31" s="3">
        <v>3.3000000000000002E-2</v>
      </c>
      <c r="AC31" s="3">
        <v>4.0000000000000001E-3</v>
      </c>
      <c r="AD31" s="3">
        <v>0.247</v>
      </c>
      <c r="AE31" s="3">
        <v>0.13600000000000001</v>
      </c>
      <c r="AF31" s="3">
        <v>7.2999999999999995E-2</v>
      </c>
      <c r="AG31" s="3">
        <v>1.7000000000000001E-2</v>
      </c>
      <c r="AH31" s="3">
        <v>2.3E-2</v>
      </c>
      <c r="AI31" s="3">
        <v>0.22900000000000001</v>
      </c>
      <c r="AJ31" s="3">
        <v>0.22</v>
      </c>
      <c r="AK31" s="3">
        <v>0.108</v>
      </c>
      <c r="AL31" s="3">
        <v>0.10100000000000001</v>
      </c>
      <c r="AM31" s="3">
        <v>6.0999999999999999E-2</v>
      </c>
      <c r="AN31" s="3">
        <v>0.247</v>
      </c>
    </row>
    <row r="32" spans="1:40" ht="30" x14ac:dyDescent="0.2">
      <c r="A32" s="3" t="s">
        <v>30</v>
      </c>
      <c r="B32" s="3" t="s">
        <v>62</v>
      </c>
      <c r="C32" s="3" t="s">
        <v>32</v>
      </c>
      <c r="D32" s="3">
        <v>4</v>
      </c>
      <c r="E32" s="4" t="str">
        <f>TEXT(O32,"0.000")&amp;"
("&amp;TEXT(AA32,"0.000")&amp;")"</f>
        <v>−0.082
(0.182)</v>
      </c>
      <c r="F32" s="4" t="str">
        <f>TEXT(P32,"0.000")&amp;"
("&amp;TEXT(AB32,"0.000")&amp;")"</f>
        <v>0.162
(0.115)</v>
      </c>
      <c r="G32" s="5">
        <f>SQRT(Q32)</f>
        <v>0.19748417658131498</v>
      </c>
      <c r="H32" s="5">
        <f>+V32</f>
        <v>0.112</v>
      </c>
      <c r="I32" s="5">
        <f>+W32</f>
        <v>0.95</v>
      </c>
      <c r="J32" s="5">
        <f>+X32</f>
        <v>0.85399999999999998</v>
      </c>
      <c r="K32" s="4" t="str">
        <f>TEXT(R32,"0.000")&amp;"
("&amp;TEXT(AD32,"0.000")&amp;")"</f>
        <v>−0.059
(0.140)</v>
      </c>
      <c r="L32" s="4" t="str">
        <f>TEXT(S32,"0.000")&amp;"
("&amp;TEXT(AE32,"0.000")&amp;")"</f>
        <v>0.124
(0.087)</v>
      </c>
      <c r="M32" s="3"/>
      <c r="N32" s="3"/>
      <c r="O32" s="3" t="s">
        <v>65</v>
      </c>
      <c r="P32" s="3">
        <v>0.16200000000000001</v>
      </c>
      <c r="Q32" s="3">
        <v>3.9E-2</v>
      </c>
      <c r="R32" s="3" t="s">
        <v>66</v>
      </c>
      <c r="S32" s="3">
        <v>0.124</v>
      </c>
      <c r="T32" s="3">
        <v>2.3E-2</v>
      </c>
      <c r="U32" s="3">
        <v>3.2000000000000001E-2</v>
      </c>
      <c r="V32" s="3">
        <v>0.112</v>
      </c>
      <c r="W32" s="3">
        <v>0.95</v>
      </c>
      <c r="X32" s="3">
        <v>0.85399999999999998</v>
      </c>
      <c r="Y32" s="3">
        <v>0.41299999999999998</v>
      </c>
      <c r="Z32" s="3">
        <v>0.38400000000000001</v>
      </c>
      <c r="AA32" s="3">
        <v>0.182</v>
      </c>
      <c r="AB32" s="3">
        <v>0.115</v>
      </c>
      <c r="AC32" s="3">
        <v>4.9000000000000002E-2</v>
      </c>
      <c r="AD32" s="3">
        <v>0.14000000000000001</v>
      </c>
      <c r="AE32" s="3">
        <v>8.6999999999999994E-2</v>
      </c>
      <c r="AF32" s="3">
        <v>2.8000000000000001E-2</v>
      </c>
      <c r="AG32" s="3">
        <v>0.04</v>
      </c>
      <c r="AH32" s="3">
        <v>7.5999999999999998E-2</v>
      </c>
      <c r="AI32" s="3">
        <v>0.218</v>
      </c>
      <c r="AJ32" s="3">
        <v>0.754</v>
      </c>
      <c r="AK32" s="3">
        <v>0.121</v>
      </c>
      <c r="AL32" s="3">
        <v>0.115</v>
      </c>
      <c r="AM32" s="3">
        <v>0.19900000000000001</v>
      </c>
      <c r="AN32" s="3">
        <v>0.152</v>
      </c>
    </row>
    <row r="33" spans="1:40" ht="30" x14ac:dyDescent="0.2">
      <c r="A33" s="3" t="s">
        <v>30</v>
      </c>
      <c r="B33" s="3" t="s">
        <v>62</v>
      </c>
      <c r="C33" s="3" t="s">
        <v>35</v>
      </c>
      <c r="D33" s="3">
        <v>4</v>
      </c>
      <c r="E33" s="4" t="str">
        <f>TEXT(O33,"0.000")&amp;"
("&amp;TEXT(AA33,"0.000")&amp;")"</f>
        <v>0.090
(0.157)</v>
      </c>
      <c r="F33" s="4" t="str">
        <f>TEXT(P33,"0.000")&amp;"
("&amp;TEXT(AB33,"0.000")&amp;")"</f>
        <v>0.145
(0.108)</v>
      </c>
      <c r="G33" s="5">
        <f>SQRT(Q33)</f>
        <v>0.18165902124584951</v>
      </c>
      <c r="H33" s="5">
        <f>+V33</f>
        <v>0.10199999999999999</v>
      </c>
      <c r="I33" s="5">
        <f>+W33</f>
        <v>0.93500000000000005</v>
      </c>
      <c r="J33" s="5">
        <f>+X33</f>
        <v>0.88200000000000001</v>
      </c>
      <c r="K33" s="4" t="str">
        <f>TEXT(R33,"0.000")&amp;"
("&amp;TEXT(AD33,"0.000")&amp;")"</f>
        <v>0.084
(0.142)</v>
      </c>
      <c r="L33" s="4" t="str">
        <f>TEXT(S33,"0.000")&amp;"
("&amp;TEXT(AE33,"0.000")&amp;")"</f>
        <v>0.131
(0.100)</v>
      </c>
      <c r="M33" s="3"/>
      <c r="N33" s="3"/>
      <c r="O33" s="3">
        <v>0.09</v>
      </c>
      <c r="P33" s="3">
        <v>0.14499999999999999</v>
      </c>
      <c r="Q33" s="3">
        <v>3.3000000000000002E-2</v>
      </c>
      <c r="R33" s="3">
        <v>8.4000000000000005E-2</v>
      </c>
      <c r="S33" s="3">
        <v>0.13100000000000001</v>
      </c>
      <c r="T33" s="3">
        <v>2.7E-2</v>
      </c>
      <c r="U33" s="3">
        <v>2.8000000000000001E-2</v>
      </c>
      <c r="V33" s="3">
        <v>0.10199999999999999</v>
      </c>
      <c r="W33" s="3">
        <v>0.93500000000000005</v>
      </c>
      <c r="X33" s="3">
        <v>0.88200000000000001</v>
      </c>
      <c r="Y33" s="3">
        <v>0.56000000000000005</v>
      </c>
      <c r="Z33" s="3">
        <v>0.48899999999999999</v>
      </c>
      <c r="AA33" s="3">
        <v>0.157</v>
      </c>
      <c r="AB33" s="3">
        <v>0.108</v>
      </c>
      <c r="AC33" s="3">
        <v>4.7E-2</v>
      </c>
      <c r="AD33" s="3">
        <v>0.14199999999999999</v>
      </c>
      <c r="AE33" s="3">
        <v>0.1</v>
      </c>
      <c r="AF33" s="3">
        <v>0.04</v>
      </c>
      <c r="AG33" s="3">
        <v>3.9E-2</v>
      </c>
      <c r="AH33" s="3">
        <v>7.4999999999999997E-2</v>
      </c>
      <c r="AI33" s="3">
        <v>0.247</v>
      </c>
      <c r="AJ33" s="3">
        <v>1.03</v>
      </c>
      <c r="AK33" s="3">
        <v>0.10100000000000001</v>
      </c>
      <c r="AL33" s="3">
        <v>0.109</v>
      </c>
      <c r="AM33" s="3">
        <v>0.18099999999999999</v>
      </c>
      <c r="AN33" s="3">
        <v>0.16500000000000001</v>
      </c>
    </row>
    <row r="34" spans="1:40" ht="30" x14ac:dyDescent="0.2">
      <c r="A34" s="3" t="s">
        <v>30</v>
      </c>
      <c r="B34" s="3" t="s">
        <v>62</v>
      </c>
      <c r="C34" s="3" t="s">
        <v>36</v>
      </c>
      <c r="D34" s="3">
        <v>4</v>
      </c>
      <c r="E34" s="4" t="str">
        <f>TEXT(O34,"0.000")&amp;"
("&amp;TEXT(AA34,"0.000")&amp;")"</f>
        <v>0.129
(0.156)</v>
      </c>
      <c r="F34" s="4" t="str">
        <f>TEXT(P34,"0.000")&amp;"
("&amp;TEXT(AB34,"0.000")&amp;")"</f>
        <v>0.164
(0.119)</v>
      </c>
      <c r="G34" s="5">
        <f>SQRT(Q34)</f>
        <v>0.20248456731316589</v>
      </c>
      <c r="H34" s="5">
        <f>+V34</f>
        <v>0.11700000000000001</v>
      </c>
      <c r="I34" s="5">
        <f>+W34</f>
        <v>0.91</v>
      </c>
      <c r="J34" s="5">
        <f>+X34</f>
        <v>0.97799999999999998</v>
      </c>
      <c r="K34" s="4" t="str">
        <f>TEXT(R34,"0.000")&amp;"
("&amp;TEXT(AD34,"0.000")&amp;")"</f>
        <v>0.123
(0.146)</v>
      </c>
      <c r="L34" s="4" t="str">
        <f>TEXT(S34,"0.000")&amp;"
("&amp;TEXT(AE34,"0.000")&amp;")"</f>
        <v>0.153
(0.114)</v>
      </c>
      <c r="M34" s="3"/>
      <c r="N34" s="3"/>
      <c r="O34" s="3">
        <v>0.129</v>
      </c>
      <c r="P34" s="3">
        <v>0.16400000000000001</v>
      </c>
      <c r="Q34" s="3">
        <v>4.1000000000000002E-2</v>
      </c>
      <c r="R34" s="3">
        <v>0.123</v>
      </c>
      <c r="S34" s="3">
        <v>0.153</v>
      </c>
      <c r="T34" s="3">
        <v>3.5999999999999997E-2</v>
      </c>
      <c r="U34" s="3">
        <v>3.5000000000000003E-2</v>
      </c>
      <c r="V34" s="3">
        <v>0.11700000000000001</v>
      </c>
      <c r="W34" s="3">
        <v>0.91</v>
      </c>
      <c r="X34" s="3">
        <v>0.97799999999999998</v>
      </c>
      <c r="Y34" s="3">
        <v>0.55700000000000005</v>
      </c>
      <c r="Z34" s="3">
        <v>0.49</v>
      </c>
      <c r="AA34" s="3">
        <v>0.156</v>
      </c>
      <c r="AB34" s="3">
        <v>0.11899999999999999</v>
      </c>
      <c r="AC34" s="3">
        <v>5.5E-2</v>
      </c>
      <c r="AD34" s="3">
        <v>0.14599999999999999</v>
      </c>
      <c r="AE34" s="3">
        <v>0.114</v>
      </c>
      <c r="AF34" s="3">
        <v>0.05</v>
      </c>
      <c r="AG34" s="3">
        <v>4.5999999999999999E-2</v>
      </c>
      <c r="AH34" s="3">
        <v>8.7999999999999995E-2</v>
      </c>
      <c r="AI34" s="3">
        <v>0.28699999999999998</v>
      </c>
      <c r="AJ34" s="3">
        <v>1.4</v>
      </c>
      <c r="AK34" s="3">
        <v>0.1</v>
      </c>
      <c r="AL34" s="3">
        <v>0.109</v>
      </c>
      <c r="AM34" s="3">
        <v>0.20200000000000001</v>
      </c>
      <c r="AN34" s="3">
        <v>0.191</v>
      </c>
    </row>
    <row r="35" spans="1:40" ht="30" x14ac:dyDescent="0.2">
      <c r="A35" s="3" t="s">
        <v>30</v>
      </c>
      <c r="B35" s="3" t="s">
        <v>62</v>
      </c>
      <c r="C35" s="3" t="s">
        <v>37</v>
      </c>
      <c r="D35" s="3">
        <v>4</v>
      </c>
      <c r="E35" s="4" t="str">
        <f>TEXT(O35,"0.000")&amp;"
("&amp;TEXT(AA35,"0.000")&amp;")"</f>
        <v>0.072
(0.162)</v>
      </c>
      <c r="F35" s="4" t="str">
        <f>TEXT(P35,"0.000")&amp;"
("&amp;TEXT(AB35,"0.000")&amp;")"</f>
        <v>0.143
(0.104)</v>
      </c>
      <c r="G35" s="5">
        <f>SQRT(Q35)</f>
        <v>0.17606816861659008</v>
      </c>
      <c r="H35" s="5">
        <f>+V35</f>
        <v>0.10100000000000001</v>
      </c>
      <c r="I35" s="5">
        <f>+W35</f>
        <v>0.96</v>
      </c>
      <c r="J35" s="5">
        <f>+X35</f>
        <v>0.81499999999999995</v>
      </c>
      <c r="K35" s="4" t="str">
        <f>TEXT(R35,"0.000")&amp;"
("&amp;TEXT(AD35,"0.000")&amp;")"</f>
        <v>0.066
(0.143)</v>
      </c>
      <c r="L35" s="4" t="str">
        <f>TEXT(S35,"0.000")&amp;"
("&amp;TEXT(AE35,"0.000")&amp;")"</f>
        <v>0.126
(0.094)</v>
      </c>
      <c r="M35" s="3"/>
      <c r="N35" s="3"/>
      <c r="O35" s="3">
        <v>7.1999999999999995E-2</v>
      </c>
      <c r="P35" s="3">
        <v>0.14299999999999999</v>
      </c>
      <c r="Q35" s="3">
        <v>3.1E-2</v>
      </c>
      <c r="R35" s="3">
        <v>6.6000000000000003E-2</v>
      </c>
      <c r="S35" s="3">
        <v>0.126</v>
      </c>
      <c r="T35" s="3">
        <v>2.5000000000000001E-2</v>
      </c>
      <c r="U35" s="3">
        <v>2.5999999999999999E-2</v>
      </c>
      <c r="V35" s="3">
        <v>0.10100000000000001</v>
      </c>
      <c r="W35" s="3">
        <v>0.96</v>
      </c>
      <c r="X35" s="3">
        <v>0.81499999999999995</v>
      </c>
      <c r="Y35" s="3">
        <v>0.55800000000000005</v>
      </c>
      <c r="Z35" s="3">
        <v>0.499</v>
      </c>
      <c r="AA35" s="3">
        <v>0.16200000000000001</v>
      </c>
      <c r="AB35" s="3">
        <v>0.104</v>
      </c>
      <c r="AC35" s="3">
        <v>4.2999999999999997E-2</v>
      </c>
      <c r="AD35" s="3">
        <v>0.14299999999999999</v>
      </c>
      <c r="AE35" s="3">
        <v>9.4E-2</v>
      </c>
      <c r="AF35" s="3">
        <v>3.5000000000000003E-2</v>
      </c>
      <c r="AG35" s="3">
        <v>3.5000000000000003E-2</v>
      </c>
      <c r="AH35" s="3">
        <v>6.8000000000000005E-2</v>
      </c>
      <c r="AI35" s="3">
        <v>0.19600000000000001</v>
      </c>
      <c r="AJ35" s="3">
        <v>0.69699999999999995</v>
      </c>
      <c r="AK35" s="3">
        <v>0.105</v>
      </c>
      <c r="AL35" s="3">
        <v>0.11</v>
      </c>
      <c r="AM35" s="3">
        <v>0.17699999999999999</v>
      </c>
      <c r="AN35" s="3">
        <v>0.157</v>
      </c>
    </row>
    <row r="36" spans="1:40" ht="30" x14ac:dyDescent="0.2">
      <c r="A36" s="3" t="s">
        <v>30</v>
      </c>
      <c r="B36" s="3" t="s">
        <v>62</v>
      </c>
      <c r="C36" s="3" t="s">
        <v>38</v>
      </c>
      <c r="D36" s="3">
        <v>4</v>
      </c>
      <c r="E36" s="4" t="str">
        <f>TEXT(O36,"0.000")&amp;"
("&amp;TEXT(AA36,"0.000")&amp;")"</f>
        <v>0.070
(0.159)</v>
      </c>
      <c r="F36" s="4" t="str">
        <f>TEXT(P36,"0.000")&amp;"
("&amp;TEXT(AB36,"0.000")&amp;")"</f>
        <v>0.140
(0.102)</v>
      </c>
      <c r="G36" s="5">
        <f>SQRT(Q36)</f>
        <v>0.17320508075688773</v>
      </c>
      <c r="H36" s="5">
        <f>+V36</f>
        <v>0.1</v>
      </c>
      <c r="I36" s="5">
        <f>+W36</f>
        <v>0.97499999999999998</v>
      </c>
      <c r="J36" s="5">
        <f>+X36</f>
        <v>0.78600000000000003</v>
      </c>
      <c r="K36" s="4" t="str">
        <f>TEXT(R36,"0.000")&amp;"
("&amp;TEXT(AD36,"0.000")&amp;")"</f>
        <v>0.064
(0.139)</v>
      </c>
      <c r="L36" s="4" t="str">
        <f>TEXT(S36,"0.000")&amp;"
("&amp;TEXT(AE36,"0.000")&amp;")"</f>
        <v>0.124
(0.091)</v>
      </c>
      <c r="M36" s="3"/>
      <c r="N36" s="3"/>
      <c r="O36" s="3">
        <v>7.0000000000000007E-2</v>
      </c>
      <c r="P36" s="3">
        <v>0.14000000000000001</v>
      </c>
      <c r="Q36" s="3">
        <v>0.03</v>
      </c>
      <c r="R36" s="3">
        <v>6.4000000000000001E-2</v>
      </c>
      <c r="S36" s="3">
        <v>0.124</v>
      </c>
      <c r="T36" s="3">
        <v>2.3E-2</v>
      </c>
      <c r="U36" s="3">
        <v>2.5000000000000001E-2</v>
      </c>
      <c r="V36" s="3">
        <v>0.1</v>
      </c>
      <c r="W36" s="3">
        <v>0.97499999999999998</v>
      </c>
      <c r="X36" s="3">
        <v>0.78600000000000003</v>
      </c>
      <c r="Y36" s="3">
        <v>0.55600000000000005</v>
      </c>
      <c r="Z36" s="3">
        <v>0.49299999999999999</v>
      </c>
      <c r="AA36" s="3">
        <v>0.159</v>
      </c>
      <c r="AB36" s="3">
        <v>0.10199999999999999</v>
      </c>
      <c r="AC36" s="3">
        <v>4.2000000000000003E-2</v>
      </c>
      <c r="AD36" s="3">
        <v>0.13900000000000001</v>
      </c>
      <c r="AE36" s="3">
        <v>9.0999999999999998E-2</v>
      </c>
      <c r="AF36" s="3">
        <v>3.4000000000000002E-2</v>
      </c>
      <c r="AG36" s="3">
        <v>3.4000000000000002E-2</v>
      </c>
      <c r="AH36" s="3">
        <v>6.6000000000000003E-2</v>
      </c>
      <c r="AI36" s="3">
        <v>0.157</v>
      </c>
      <c r="AJ36" s="3">
        <v>0.40200000000000002</v>
      </c>
      <c r="AK36" s="3">
        <v>0.10299999999999999</v>
      </c>
      <c r="AL36" s="3">
        <v>0.108</v>
      </c>
      <c r="AM36" s="3">
        <v>0.17299999999999999</v>
      </c>
      <c r="AN36" s="3">
        <v>0.153</v>
      </c>
    </row>
    <row r="37" spans="1:40" ht="30" x14ac:dyDescent="0.2">
      <c r="A37" s="6" t="s">
        <v>30</v>
      </c>
      <c r="B37" s="6" t="s">
        <v>62</v>
      </c>
      <c r="C37" s="6" t="s">
        <v>39</v>
      </c>
      <c r="D37" s="6">
        <v>4</v>
      </c>
      <c r="E37" s="7" t="str">
        <f>TEXT(O37,"0.000")&amp;"
("&amp;TEXT(AA37,"0.000")&amp;")"</f>
        <v>−0.004
(0.155)</v>
      </c>
      <c r="F37" s="7" t="str">
        <f>TEXT(P37,"0.000")&amp;"
("&amp;TEXT(AB37,"0.000")&amp;")"</f>
        <v>0.124
(0.094)</v>
      </c>
      <c r="G37" s="8">
        <f>SQRT(Q37)</f>
        <v>0.15491933384829668</v>
      </c>
      <c r="H37" s="8">
        <f>+V37</f>
        <v>8.7999999999999995E-2</v>
      </c>
      <c r="I37" s="8">
        <f>+W37</f>
        <v>0.98</v>
      </c>
      <c r="J37" s="8">
        <f>+X37</f>
        <v>0.72</v>
      </c>
      <c r="K37" s="7" t="str">
        <f>TEXT(R37,"0.000")&amp;"
("&amp;TEXT(AD37,"0.000")&amp;")"</f>
        <v>−0.001
(0.128)</v>
      </c>
      <c r="L37" s="7" t="str">
        <f>TEXT(S37,"0.000")&amp;"
("&amp;TEXT(AE37,"0.000")&amp;")"</f>
        <v>0.102
(0.077)</v>
      </c>
      <c r="M37" s="3"/>
      <c r="N37" s="3"/>
      <c r="O37" s="3" t="s">
        <v>33</v>
      </c>
      <c r="P37" s="3">
        <v>0.124</v>
      </c>
      <c r="Q37" s="3">
        <v>2.4E-2</v>
      </c>
      <c r="R37" s="3" t="s">
        <v>45</v>
      </c>
      <c r="S37" s="3">
        <v>0.10199999999999999</v>
      </c>
      <c r="T37" s="3">
        <v>1.6E-2</v>
      </c>
      <c r="U37" s="3">
        <v>0.02</v>
      </c>
      <c r="V37" s="3">
        <v>8.7999999999999995E-2</v>
      </c>
      <c r="W37" s="3">
        <v>0.98</v>
      </c>
      <c r="X37" s="3">
        <v>0.72</v>
      </c>
      <c r="Y37" s="3">
        <v>0.57199999999999995</v>
      </c>
      <c r="Z37" s="3">
        <v>0.504</v>
      </c>
      <c r="AA37" s="3">
        <v>0.155</v>
      </c>
      <c r="AB37" s="3">
        <v>9.4E-2</v>
      </c>
      <c r="AC37" s="3">
        <v>3.2000000000000001E-2</v>
      </c>
      <c r="AD37" s="3">
        <v>0.128</v>
      </c>
      <c r="AE37" s="3">
        <v>7.6999999999999999E-2</v>
      </c>
      <c r="AF37" s="3">
        <v>2.1999999999999999E-2</v>
      </c>
      <c r="AG37" s="3">
        <v>2.5999999999999999E-2</v>
      </c>
      <c r="AH37" s="3">
        <v>5.7000000000000002E-2</v>
      </c>
      <c r="AI37" s="3">
        <v>0.14000000000000001</v>
      </c>
      <c r="AJ37" s="3">
        <v>0.25900000000000001</v>
      </c>
      <c r="AK37" s="3">
        <v>9.6000000000000002E-2</v>
      </c>
      <c r="AL37" s="3">
        <v>0.108</v>
      </c>
      <c r="AM37" s="3">
        <v>0.155</v>
      </c>
      <c r="AN37" s="3">
        <v>0.127</v>
      </c>
    </row>
    <row r="38" spans="1:40" ht="30" x14ac:dyDescent="0.2">
      <c r="A38" s="3" t="s">
        <v>67</v>
      </c>
      <c r="B38" s="3" t="s">
        <v>31</v>
      </c>
      <c r="C38" s="3" t="s">
        <v>32</v>
      </c>
      <c r="D38" s="3">
        <v>0</v>
      </c>
      <c r="E38" s="4" t="str">
        <f>TEXT(O38,"0.000")&amp;"
("&amp;TEXT(AA38,"0.000")&amp;")"</f>
        <v>−0.041
(0.124)</v>
      </c>
      <c r="F38" s="4" t="str">
        <f>TEXT(P38,"0.000")&amp;"
("&amp;TEXT(AB38,"0.000")&amp;")"</f>
        <v>0.105
(0.077)</v>
      </c>
      <c r="G38" s="5">
        <f>SQRT(Q38)</f>
        <v>0.13038404810405299</v>
      </c>
      <c r="H38" s="5">
        <f>+V38</f>
        <v>7.4999999999999997E-2</v>
      </c>
      <c r="I38" s="5">
        <f>+W38</f>
        <v>0.93500000000000005</v>
      </c>
      <c r="J38" s="5">
        <f>+X38</f>
        <v>0.59099999999999997</v>
      </c>
      <c r="K38" s="4" t="str">
        <f>TEXT(R38,"0.000")&amp;"
("&amp;TEXT(AD38,"0.000")&amp;")"</f>
        <v>−0.033
(0.105)</v>
      </c>
      <c r="L38" s="4" t="str">
        <f>TEXT(S38,"0.000")&amp;"
("&amp;TEXT(AE38,"0.000")&amp;")"</f>
        <v>0.089
(0.064)</v>
      </c>
      <c r="M38" s="3"/>
      <c r="N38" s="3"/>
      <c r="O38" s="3" t="s">
        <v>44</v>
      </c>
      <c r="P38" s="3">
        <v>0.105</v>
      </c>
      <c r="Q38" s="3">
        <v>1.7000000000000001E-2</v>
      </c>
      <c r="R38" s="3" t="s">
        <v>68</v>
      </c>
      <c r="S38" s="3">
        <v>8.8999999999999996E-2</v>
      </c>
      <c r="T38" s="3">
        <v>1.2E-2</v>
      </c>
      <c r="U38" s="3">
        <v>1.4999999999999999E-2</v>
      </c>
      <c r="V38" s="3">
        <v>7.4999999999999997E-2</v>
      </c>
      <c r="W38" s="3">
        <v>0.93500000000000005</v>
      </c>
      <c r="X38" s="3">
        <v>0.59099999999999997</v>
      </c>
      <c r="Y38" s="3">
        <v>0.61</v>
      </c>
      <c r="Z38" s="3">
        <v>0.53500000000000003</v>
      </c>
      <c r="AA38" s="3">
        <v>0.124</v>
      </c>
      <c r="AB38" s="3">
        <v>7.6999999999999999E-2</v>
      </c>
      <c r="AC38" s="3">
        <v>2.1000000000000001E-2</v>
      </c>
      <c r="AD38" s="3">
        <v>0.105</v>
      </c>
      <c r="AE38" s="3">
        <v>6.4000000000000001E-2</v>
      </c>
      <c r="AF38" s="3">
        <v>1.4999999999999999E-2</v>
      </c>
      <c r="AG38" s="3">
        <v>1.7999999999999999E-2</v>
      </c>
      <c r="AH38" s="3">
        <v>5.1999999999999998E-2</v>
      </c>
      <c r="AI38" s="3">
        <v>0.247</v>
      </c>
      <c r="AJ38" s="3">
        <v>0.53300000000000003</v>
      </c>
      <c r="AK38" s="3">
        <v>7.3999999999999996E-2</v>
      </c>
      <c r="AL38" s="3">
        <v>6.7000000000000004E-2</v>
      </c>
      <c r="AM38" s="3">
        <v>0.13</v>
      </c>
      <c r="AN38" s="3">
        <v>0.109</v>
      </c>
    </row>
    <row r="39" spans="1:40" ht="30" x14ac:dyDescent="0.2">
      <c r="A39" s="3" t="s">
        <v>67</v>
      </c>
      <c r="B39" s="3" t="s">
        <v>31</v>
      </c>
      <c r="C39" s="3" t="s">
        <v>35</v>
      </c>
      <c r="D39" s="3">
        <v>0</v>
      </c>
      <c r="E39" s="4" t="str">
        <f>TEXT(O39,"0.000")&amp;"
("&amp;TEXT(AA39,"0.000")&amp;")"</f>
        <v>−0.170
(0.131)</v>
      </c>
      <c r="F39" s="4" t="str">
        <f>TEXT(P39,"0.000")&amp;"
("&amp;TEXT(AB39,"0.000")&amp;")"</f>
        <v>0.180
(0.117)</v>
      </c>
      <c r="G39" s="5">
        <f>SQRT(Q39)</f>
        <v>0.21447610589527216</v>
      </c>
      <c r="H39" s="5">
        <f>+V39</f>
        <v>0.13700000000000001</v>
      </c>
      <c r="I39" s="5">
        <f>+W39</f>
        <v>0.72</v>
      </c>
      <c r="J39" s="5">
        <f>+X39</f>
        <v>1.4079999999999999</v>
      </c>
      <c r="K39" s="4" t="str">
        <f>TEXT(R39,"0.000")&amp;"
("&amp;TEXT(AD39,"0.000")&amp;")"</f>
        <v>−0.128
(0.097)</v>
      </c>
      <c r="L39" s="4" t="str">
        <f>TEXT(S39,"0.000")&amp;"
("&amp;TEXT(AE39,"0.000")&amp;")"</f>
        <v>0.136
(0.085)</v>
      </c>
      <c r="M39" s="3"/>
      <c r="N39" s="3"/>
      <c r="O39" s="3" t="s">
        <v>69</v>
      </c>
      <c r="P39" s="3">
        <v>0.18</v>
      </c>
      <c r="Q39" s="3">
        <v>4.5999999999999999E-2</v>
      </c>
      <c r="R39" s="3" t="s">
        <v>70</v>
      </c>
      <c r="S39" s="3">
        <v>0.13600000000000001</v>
      </c>
      <c r="T39" s="3">
        <v>2.5999999999999999E-2</v>
      </c>
      <c r="U39" s="3">
        <v>3.6999999999999998E-2</v>
      </c>
      <c r="V39" s="3">
        <v>0.13700000000000001</v>
      </c>
      <c r="W39" s="3">
        <v>0.72</v>
      </c>
      <c r="X39" s="3">
        <v>1.4079999999999999</v>
      </c>
      <c r="Y39" s="3">
        <v>0.60299999999999998</v>
      </c>
      <c r="Z39" s="3">
        <v>0.53100000000000003</v>
      </c>
      <c r="AA39" s="3">
        <v>0.13100000000000001</v>
      </c>
      <c r="AB39" s="3">
        <v>0.11700000000000001</v>
      </c>
      <c r="AC39" s="3">
        <v>0.05</v>
      </c>
      <c r="AD39" s="3">
        <v>9.7000000000000003E-2</v>
      </c>
      <c r="AE39" s="3">
        <v>8.5000000000000006E-2</v>
      </c>
      <c r="AF39" s="3">
        <v>2.5999999999999999E-2</v>
      </c>
      <c r="AG39" s="3">
        <v>0.04</v>
      </c>
      <c r="AH39" s="3">
        <v>9.1999999999999998E-2</v>
      </c>
      <c r="AI39" s="3">
        <v>0.45</v>
      </c>
      <c r="AJ39" s="3">
        <v>1.8979999999999999</v>
      </c>
      <c r="AK39" s="3">
        <v>0.08</v>
      </c>
      <c r="AL39" s="3">
        <v>6.9000000000000006E-2</v>
      </c>
      <c r="AM39" s="3">
        <v>0.215</v>
      </c>
      <c r="AN39" s="3">
        <v>0.16</v>
      </c>
    </row>
    <row r="40" spans="1:40" ht="30" x14ac:dyDescent="0.2">
      <c r="A40" s="3" t="s">
        <v>67</v>
      </c>
      <c r="B40" s="3" t="s">
        <v>31</v>
      </c>
      <c r="C40" s="3" t="s">
        <v>36</v>
      </c>
      <c r="D40" s="3">
        <v>0</v>
      </c>
      <c r="E40" s="4" t="str">
        <f>TEXT(O40,"0.000")&amp;"
("&amp;TEXT(AA40,"0.000")&amp;")"</f>
        <v>−0.154
(0.127)</v>
      </c>
      <c r="F40" s="4" t="str">
        <f>TEXT(P40,"0.000")&amp;"
("&amp;TEXT(AB40,"0.000")&amp;")"</f>
        <v>0.167
(0.110)</v>
      </c>
      <c r="G40" s="5">
        <f>SQRT(Q40)</f>
        <v>0.2</v>
      </c>
      <c r="H40" s="5">
        <f>+V40</f>
        <v>0.121</v>
      </c>
      <c r="I40" s="5">
        <f>+W40</f>
        <v>0.76</v>
      </c>
      <c r="J40" s="5">
        <f>+X40</f>
        <v>1.288</v>
      </c>
      <c r="K40" s="4" t="str">
        <f>TEXT(R40,"0.000")&amp;"
("&amp;TEXT(AD40,"0.000")&amp;")"</f>
        <v>−0.117
(0.095)</v>
      </c>
      <c r="L40" s="4" t="str">
        <f>TEXT(S40,"0.000")&amp;"
("&amp;TEXT(AE40,"0.000")&amp;")"</f>
        <v>0.127
(0.082)</v>
      </c>
      <c r="M40" s="3"/>
      <c r="N40" s="3"/>
      <c r="O40" s="3" t="s">
        <v>71</v>
      </c>
      <c r="P40" s="3">
        <v>0.16700000000000001</v>
      </c>
      <c r="Q40" s="3">
        <v>0.04</v>
      </c>
      <c r="R40" s="3" t="s">
        <v>72</v>
      </c>
      <c r="S40" s="3">
        <v>0.127</v>
      </c>
      <c r="T40" s="3">
        <v>2.3E-2</v>
      </c>
      <c r="U40" s="3">
        <v>3.2000000000000001E-2</v>
      </c>
      <c r="V40" s="3">
        <v>0.121</v>
      </c>
      <c r="W40" s="3">
        <v>0.76</v>
      </c>
      <c r="X40" s="3">
        <v>1.288</v>
      </c>
      <c r="Y40" s="3">
        <v>0.60299999999999998</v>
      </c>
      <c r="Z40" s="3">
        <v>0.53500000000000003</v>
      </c>
      <c r="AA40" s="3">
        <v>0.127</v>
      </c>
      <c r="AB40" s="3">
        <v>0.11</v>
      </c>
      <c r="AC40" s="3">
        <v>4.3999999999999997E-2</v>
      </c>
      <c r="AD40" s="3">
        <v>9.5000000000000001E-2</v>
      </c>
      <c r="AE40" s="3">
        <v>8.2000000000000003E-2</v>
      </c>
      <c r="AF40" s="3">
        <v>2.4E-2</v>
      </c>
      <c r="AG40" s="3">
        <v>3.5999999999999997E-2</v>
      </c>
      <c r="AH40" s="3">
        <v>8.5000000000000006E-2</v>
      </c>
      <c r="AI40" s="3">
        <v>0.42799999999999999</v>
      </c>
      <c r="AJ40" s="3">
        <v>1.7490000000000001</v>
      </c>
      <c r="AK40" s="3">
        <v>7.8E-2</v>
      </c>
      <c r="AL40" s="3">
        <v>7.0000000000000007E-2</v>
      </c>
      <c r="AM40" s="3">
        <v>0.19900000000000001</v>
      </c>
      <c r="AN40" s="3">
        <v>0.151</v>
      </c>
    </row>
    <row r="41" spans="1:40" ht="30" x14ac:dyDescent="0.2">
      <c r="A41" s="3" t="s">
        <v>67</v>
      </c>
      <c r="B41" s="3" t="s">
        <v>31</v>
      </c>
      <c r="C41" s="3" t="s">
        <v>37</v>
      </c>
      <c r="D41" s="3">
        <v>0</v>
      </c>
      <c r="E41" s="4" t="str">
        <f>TEXT(O41,"0.000")&amp;"
("&amp;TEXT(AA41,"0.000")&amp;")"</f>
        <v>−0.069
(0.117)</v>
      </c>
      <c r="F41" s="4" t="str">
        <f>TEXT(P41,"0.000")&amp;"
("&amp;TEXT(AB41,"0.000")&amp;")"</f>
        <v>0.108
(0.082)</v>
      </c>
      <c r="G41" s="5">
        <f>SQRT(Q41)</f>
        <v>0.13416407864998739</v>
      </c>
      <c r="H41" s="5">
        <f>+V41</f>
        <v>7.6999999999999999E-2</v>
      </c>
      <c r="I41" s="5">
        <f>+W41</f>
        <v>0.89</v>
      </c>
      <c r="J41" s="5">
        <f>+X41</f>
        <v>0.621</v>
      </c>
      <c r="K41" s="4" t="str">
        <f>TEXT(R41,"0.000")&amp;"
("&amp;TEXT(AD41,"0.000")&amp;")"</f>
        <v>−0.056
(0.096)</v>
      </c>
      <c r="L41" s="4" t="str">
        <f>TEXT(S41,"0.000")&amp;"
("&amp;TEXT(AE41,"0.000")&amp;")"</f>
        <v>0.089
(0.067)</v>
      </c>
      <c r="M41" s="3"/>
      <c r="N41" s="3"/>
      <c r="O41" s="3" t="s">
        <v>73</v>
      </c>
      <c r="P41" s="3">
        <v>0.108</v>
      </c>
      <c r="Q41" s="3">
        <v>1.7999999999999999E-2</v>
      </c>
      <c r="R41" s="3" t="s">
        <v>74</v>
      </c>
      <c r="S41" s="3">
        <v>8.8999999999999996E-2</v>
      </c>
      <c r="T41" s="3">
        <v>1.2E-2</v>
      </c>
      <c r="U41" s="3">
        <v>1.6E-2</v>
      </c>
      <c r="V41" s="3">
        <v>7.6999999999999999E-2</v>
      </c>
      <c r="W41" s="3">
        <v>0.89</v>
      </c>
      <c r="X41" s="3">
        <v>0.621</v>
      </c>
      <c r="Y41" s="3">
        <v>0.63300000000000001</v>
      </c>
      <c r="Z41" s="3">
        <v>0.56200000000000006</v>
      </c>
      <c r="AA41" s="3">
        <v>0.11700000000000001</v>
      </c>
      <c r="AB41" s="3">
        <v>8.2000000000000003E-2</v>
      </c>
      <c r="AC41" s="3">
        <v>2.3E-2</v>
      </c>
      <c r="AD41" s="3">
        <v>9.6000000000000002E-2</v>
      </c>
      <c r="AE41" s="3">
        <v>6.7000000000000004E-2</v>
      </c>
      <c r="AF41" s="3">
        <v>1.4999999999999999E-2</v>
      </c>
      <c r="AG41" s="3">
        <v>0.02</v>
      </c>
      <c r="AH41" s="3">
        <v>5.3999999999999999E-2</v>
      </c>
      <c r="AI41" s="3">
        <v>0.314</v>
      </c>
      <c r="AJ41" s="3">
        <v>0.54100000000000004</v>
      </c>
      <c r="AK41" s="3">
        <v>7.0000000000000007E-2</v>
      </c>
      <c r="AL41" s="3">
        <v>6.6000000000000003E-2</v>
      </c>
      <c r="AM41" s="3">
        <v>0.13500000000000001</v>
      </c>
      <c r="AN41" s="3">
        <v>0.111</v>
      </c>
    </row>
    <row r="42" spans="1:40" ht="30" x14ac:dyDescent="0.2">
      <c r="A42" s="3" t="s">
        <v>67</v>
      </c>
      <c r="B42" s="3" t="s">
        <v>31</v>
      </c>
      <c r="C42" s="3" t="s">
        <v>38</v>
      </c>
      <c r="D42" s="3">
        <v>0</v>
      </c>
      <c r="E42" s="4" t="str">
        <f>TEXT(O42,"0.000")&amp;"
("&amp;TEXT(AA42,"0.000")&amp;")"</f>
        <v>−0.059
(0.117)</v>
      </c>
      <c r="F42" s="4" t="str">
        <f>TEXT(P42,"0.000")&amp;"
("&amp;TEXT(AB42,"0.000")&amp;")"</f>
        <v>0.104
(0.079)</v>
      </c>
      <c r="G42" s="5">
        <f>SQRT(Q42)</f>
        <v>0.13038404810405299</v>
      </c>
      <c r="H42" s="5">
        <f>+V42</f>
        <v>7.3999999999999996E-2</v>
      </c>
      <c r="I42" s="5">
        <f>+W42</f>
        <v>0.92500000000000004</v>
      </c>
      <c r="J42" s="5">
        <f>+X42</f>
        <v>0.59499999999999997</v>
      </c>
      <c r="K42" s="4" t="str">
        <f>TEXT(R42,"0.000")&amp;"
("&amp;TEXT(AD42,"0.000")&amp;")"</f>
        <v>−0.048
(0.097)</v>
      </c>
      <c r="L42" s="4" t="str">
        <f>TEXT(S42,"0.000")&amp;"
("&amp;TEXT(AE42,"0.000")&amp;")"</f>
        <v>0.087
(0.065)</v>
      </c>
      <c r="M42" s="3"/>
      <c r="N42" s="3"/>
      <c r="O42" s="3" t="s">
        <v>66</v>
      </c>
      <c r="P42" s="3">
        <v>0.104</v>
      </c>
      <c r="Q42" s="3">
        <v>1.7000000000000001E-2</v>
      </c>
      <c r="R42" s="3" t="s">
        <v>59</v>
      </c>
      <c r="S42" s="3">
        <v>8.6999999999999994E-2</v>
      </c>
      <c r="T42" s="3">
        <v>1.2E-2</v>
      </c>
      <c r="U42" s="3">
        <v>1.4999999999999999E-2</v>
      </c>
      <c r="V42" s="3">
        <v>7.3999999999999996E-2</v>
      </c>
      <c r="W42" s="3">
        <v>0.92500000000000004</v>
      </c>
      <c r="X42" s="3">
        <v>0.59499999999999997</v>
      </c>
      <c r="Y42" s="3">
        <v>0.63400000000000001</v>
      </c>
      <c r="Z42" s="3">
        <v>0.56399999999999995</v>
      </c>
      <c r="AA42" s="3">
        <v>0.11700000000000001</v>
      </c>
      <c r="AB42" s="3">
        <v>7.9000000000000001E-2</v>
      </c>
      <c r="AC42" s="3">
        <v>2.1999999999999999E-2</v>
      </c>
      <c r="AD42" s="3">
        <v>9.7000000000000003E-2</v>
      </c>
      <c r="AE42" s="3">
        <v>6.5000000000000002E-2</v>
      </c>
      <c r="AF42" s="3">
        <v>1.4999999999999999E-2</v>
      </c>
      <c r="AG42" s="3">
        <v>1.9E-2</v>
      </c>
      <c r="AH42" s="3">
        <v>5.0999999999999997E-2</v>
      </c>
      <c r="AI42" s="3">
        <v>0.26400000000000001</v>
      </c>
      <c r="AJ42" s="3">
        <v>0.503</v>
      </c>
      <c r="AK42" s="3">
        <v>7.0999999999999994E-2</v>
      </c>
      <c r="AL42" s="3">
        <v>6.7000000000000004E-2</v>
      </c>
      <c r="AM42" s="3">
        <v>0.13</v>
      </c>
      <c r="AN42" s="3">
        <v>0.108</v>
      </c>
    </row>
    <row r="43" spans="1:40" ht="30" x14ac:dyDescent="0.2">
      <c r="A43" s="3" t="s">
        <v>67</v>
      </c>
      <c r="B43" s="3" t="s">
        <v>31</v>
      </c>
      <c r="C43" s="3" t="s">
        <v>39</v>
      </c>
      <c r="D43" s="3">
        <v>0</v>
      </c>
      <c r="E43" s="4" t="str">
        <f>TEXT(O43,"0.000")&amp;"
("&amp;TEXT(AA43,"0.000")&amp;")"</f>
        <v>−0.128
(0.120)</v>
      </c>
      <c r="F43" s="4" t="str">
        <f>TEXT(P43,"0.000")&amp;"
("&amp;TEXT(AB43,"0.000")&amp;")"</f>
        <v>0.145
(0.099)</v>
      </c>
      <c r="G43" s="5">
        <f>SQRT(Q43)</f>
        <v>0.17606816861659008</v>
      </c>
      <c r="H43" s="5">
        <f>+V43</f>
        <v>0.10100000000000001</v>
      </c>
      <c r="I43" s="5">
        <f>+W43</f>
        <v>0.84499999999999997</v>
      </c>
      <c r="J43" s="5">
        <f>+X43</f>
        <v>0.88400000000000001</v>
      </c>
      <c r="K43" s="4" t="str">
        <f>TEXT(R43,"0.000")&amp;"
("&amp;TEXT(AD43,"0.000")&amp;")"</f>
        <v>−0.100
(0.093)</v>
      </c>
      <c r="L43" s="4" t="str">
        <f>TEXT(S43,"0.000")&amp;"
("&amp;TEXT(AE43,"0.000")&amp;")"</f>
        <v>0.113
(0.076)</v>
      </c>
      <c r="M43" s="3"/>
      <c r="N43" s="3"/>
      <c r="O43" s="3" t="s">
        <v>70</v>
      </c>
      <c r="P43" s="3">
        <v>0.14499999999999999</v>
      </c>
      <c r="Q43" s="3">
        <v>3.1E-2</v>
      </c>
      <c r="R43" s="3" t="s">
        <v>75</v>
      </c>
      <c r="S43" s="3">
        <v>0.113</v>
      </c>
      <c r="T43" s="3">
        <v>1.9E-2</v>
      </c>
      <c r="U43" s="3">
        <v>2.5999999999999999E-2</v>
      </c>
      <c r="V43" s="3">
        <v>0.10100000000000001</v>
      </c>
      <c r="W43" s="3">
        <v>0.84499999999999997</v>
      </c>
      <c r="X43" s="3">
        <v>0.88400000000000001</v>
      </c>
      <c r="Y43" s="3">
        <v>0.623</v>
      </c>
      <c r="Z43" s="3">
        <v>0.55100000000000005</v>
      </c>
      <c r="AA43" s="3">
        <v>0.12</v>
      </c>
      <c r="AB43" s="3">
        <v>9.9000000000000005E-2</v>
      </c>
      <c r="AC43" s="3">
        <v>3.5000000000000003E-2</v>
      </c>
      <c r="AD43" s="3">
        <v>9.2999999999999999E-2</v>
      </c>
      <c r="AE43" s="3">
        <v>7.5999999999999998E-2</v>
      </c>
      <c r="AF43" s="3">
        <v>2.1000000000000001E-2</v>
      </c>
      <c r="AG43" s="3">
        <v>2.9000000000000001E-2</v>
      </c>
      <c r="AH43" s="3">
        <v>7.0000000000000007E-2</v>
      </c>
      <c r="AI43" s="3">
        <v>0.36299999999999999</v>
      </c>
      <c r="AJ43" s="3">
        <v>0.98399999999999999</v>
      </c>
      <c r="AK43" s="3">
        <v>7.1999999999999995E-2</v>
      </c>
      <c r="AL43" s="3">
        <v>6.8000000000000005E-2</v>
      </c>
      <c r="AM43" s="3">
        <v>0.17499999999999999</v>
      </c>
      <c r="AN43" s="3">
        <v>0.13600000000000001</v>
      </c>
    </row>
    <row r="44" spans="1:40" ht="30" x14ac:dyDescent="0.2">
      <c r="A44" s="3" t="s">
        <v>67</v>
      </c>
      <c r="B44" s="3" t="s">
        <v>31</v>
      </c>
      <c r="C44" s="3" t="s">
        <v>32</v>
      </c>
      <c r="D44" s="3">
        <v>4</v>
      </c>
      <c r="E44" s="4" t="str">
        <f>TEXT(O44,"0.000")&amp;"
("&amp;TEXT(AA44,"0.000")&amp;")"</f>
        <v>0.147
(0.569)</v>
      </c>
      <c r="F44" s="4" t="str">
        <f>TEXT(P44,"0.000")&amp;"
("&amp;TEXT(AB44,"0.000")&amp;")"</f>
        <v>0.465
(0.358)</v>
      </c>
      <c r="G44" s="5">
        <f>SQRT(Q44)</f>
        <v>0.58651513194460714</v>
      </c>
      <c r="H44" s="5">
        <f>+V44</f>
        <v>0.33500000000000002</v>
      </c>
      <c r="I44" s="5">
        <f>+W44</f>
        <v>0.90500000000000003</v>
      </c>
      <c r="J44" s="5">
        <f>+X44</f>
        <v>2.883</v>
      </c>
      <c r="K44" s="4" t="str">
        <f>TEXT(R44,"0.000")&amp;"
("&amp;TEXT(AD44,"0.000")&amp;")"</f>
        <v>0.028
(0.094)</v>
      </c>
      <c r="L44" s="4" t="str">
        <f>TEXT(S44,"0.000")&amp;"
("&amp;TEXT(AE44,"0.000")&amp;")"</f>
        <v>0.077
(0.061)</v>
      </c>
      <c r="M44" s="3"/>
      <c r="N44" s="3"/>
      <c r="O44" s="3">
        <v>0.14699999999999999</v>
      </c>
      <c r="P44" s="3">
        <v>0.46500000000000002</v>
      </c>
      <c r="Q44" s="3">
        <v>0.34399999999999997</v>
      </c>
      <c r="R44" s="3">
        <v>2.8000000000000001E-2</v>
      </c>
      <c r="S44" s="3">
        <v>7.6999999999999999E-2</v>
      </c>
      <c r="T44" s="3">
        <v>0.01</v>
      </c>
      <c r="U44" s="3">
        <v>5.6000000000000001E-2</v>
      </c>
      <c r="V44" s="3">
        <v>0.33500000000000002</v>
      </c>
      <c r="W44" s="3">
        <v>0.90500000000000003</v>
      </c>
      <c r="X44" s="3">
        <v>2.883</v>
      </c>
      <c r="Y44" s="3">
        <v>0.85</v>
      </c>
      <c r="Z44" s="3">
        <v>0.76500000000000001</v>
      </c>
      <c r="AA44" s="3">
        <v>0.56899999999999995</v>
      </c>
      <c r="AB44" s="3">
        <v>0.35799999999999998</v>
      </c>
      <c r="AC44" s="3">
        <v>0.48899999999999999</v>
      </c>
      <c r="AD44" s="3">
        <v>9.4E-2</v>
      </c>
      <c r="AE44" s="3">
        <v>6.0999999999999999E-2</v>
      </c>
      <c r="AF44" s="3">
        <v>1.4999999999999999E-2</v>
      </c>
      <c r="AG44" s="3">
        <v>0.08</v>
      </c>
      <c r="AH44" s="3">
        <v>0.25800000000000001</v>
      </c>
      <c r="AI44" s="3">
        <v>0.29399999999999998</v>
      </c>
      <c r="AJ44" s="3">
        <v>4.0090000000000003</v>
      </c>
      <c r="AK44" s="3">
        <v>4.8000000000000001E-2</v>
      </c>
      <c r="AL44" s="3">
        <v>5.7000000000000002E-2</v>
      </c>
      <c r="AM44" s="3">
        <v>0.58699999999999997</v>
      </c>
      <c r="AN44" s="3">
        <v>9.8000000000000004E-2</v>
      </c>
    </row>
    <row r="45" spans="1:40" ht="30" x14ac:dyDescent="0.2">
      <c r="A45" s="3" t="s">
        <v>67</v>
      </c>
      <c r="B45" s="3" t="s">
        <v>31</v>
      </c>
      <c r="C45" s="3" t="s">
        <v>35</v>
      </c>
      <c r="D45" s="3">
        <v>4</v>
      </c>
      <c r="E45" s="4" t="str">
        <f>TEXT(O45,"0.000")&amp;"
("&amp;TEXT(AA45,"0.000")&amp;")"</f>
        <v>−1.061
(0.577)</v>
      </c>
      <c r="F45" s="4" t="str">
        <f>TEXT(P45,"0.000")&amp;"
("&amp;TEXT(AB45,"0.000")&amp;")"</f>
        <v>1.073
(0.554)</v>
      </c>
      <c r="G45" s="5">
        <f>SQRT(Q45)</f>
        <v>1.2074767078498865</v>
      </c>
      <c r="H45" s="5">
        <f>+V45</f>
        <v>0.81499999999999995</v>
      </c>
      <c r="I45" s="5">
        <f>+W45</f>
        <v>0.56499999999999995</v>
      </c>
      <c r="J45" s="5">
        <f>+X45</f>
        <v>9.7789999999999999</v>
      </c>
      <c r="K45" s="4" t="str">
        <f>TEXT(R45,"0.000")&amp;"
("&amp;TEXT(AD45,"0.000")&amp;")"</f>
        <v>−0.142
(0.070)</v>
      </c>
      <c r="L45" s="4" t="str">
        <f>TEXT(S45,"0.000")&amp;"
("&amp;TEXT(AE45,"0.000")&amp;")"</f>
        <v>0.144
(0.066)</v>
      </c>
      <c r="M45" s="3"/>
      <c r="N45" s="3"/>
      <c r="O45" s="3" t="s">
        <v>76</v>
      </c>
      <c r="P45" s="3">
        <v>1.073</v>
      </c>
      <c r="Q45" s="3">
        <v>1.458</v>
      </c>
      <c r="R45" s="3" t="s">
        <v>77</v>
      </c>
      <c r="S45" s="3">
        <v>0.14399999999999999</v>
      </c>
      <c r="T45" s="3">
        <v>2.5000000000000001E-2</v>
      </c>
      <c r="U45" s="3">
        <v>0.20499999999999999</v>
      </c>
      <c r="V45" s="3">
        <v>0.81499999999999995</v>
      </c>
      <c r="W45" s="3">
        <v>0.56499999999999995</v>
      </c>
      <c r="X45" s="3">
        <v>9.7789999999999999</v>
      </c>
      <c r="Y45" s="3">
        <v>0.87</v>
      </c>
      <c r="Z45" s="3">
        <v>0.77200000000000002</v>
      </c>
      <c r="AA45" s="3">
        <v>0.57699999999999996</v>
      </c>
      <c r="AB45" s="3">
        <v>0.55400000000000005</v>
      </c>
      <c r="AC45" s="3">
        <v>1.4139999999999999</v>
      </c>
      <c r="AD45" s="3">
        <v>7.0000000000000007E-2</v>
      </c>
      <c r="AE45" s="3">
        <v>6.6000000000000003E-2</v>
      </c>
      <c r="AF45" s="3">
        <v>2.1000000000000001E-2</v>
      </c>
      <c r="AG45" s="3">
        <v>0.188</v>
      </c>
      <c r="AH45" s="3">
        <v>0.48699999999999999</v>
      </c>
      <c r="AI45" s="3">
        <v>0.497</v>
      </c>
      <c r="AJ45" s="3">
        <v>12.391</v>
      </c>
      <c r="AK45" s="3">
        <v>5.2999999999999999E-2</v>
      </c>
      <c r="AL45" s="3">
        <v>5.3999999999999999E-2</v>
      </c>
      <c r="AM45" s="3">
        <v>1.2070000000000001</v>
      </c>
      <c r="AN45" s="3">
        <v>0.158</v>
      </c>
    </row>
    <row r="46" spans="1:40" ht="30" x14ac:dyDescent="0.2">
      <c r="A46" s="3" t="s">
        <v>67</v>
      </c>
      <c r="B46" s="3" t="s">
        <v>31</v>
      </c>
      <c r="C46" s="3" t="s">
        <v>36</v>
      </c>
      <c r="D46" s="3">
        <v>4</v>
      </c>
      <c r="E46" s="4" t="str">
        <f>TEXT(O46,"0.000")&amp;"
("&amp;TEXT(AA46,"0.000")&amp;")"</f>
        <v>−0.983
(0.620)</v>
      </c>
      <c r="F46" s="4" t="str">
        <f>TEXT(P46,"0.000")&amp;"
("&amp;TEXT(AB46,"0.000")&amp;")"</f>
        <v>1.001
(0.590)</v>
      </c>
      <c r="G46" s="5">
        <f>SQRT(Q46)</f>
        <v>1.161464592658769</v>
      </c>
      <c r="H46" s="5">
        <f>+V46</f>
        <v>0.745</v>
      </c>
      <c r="I46" s="5">
        <f>+W46</f>
        <v>0.55500000000000005</v>
      </c>
      <c r="J46" s="5">
        <f>+X46</f>
        <v>10.25</v>
      </c>
      <c r="K46" s="4" t="str">
        <f>TEXT(R46,"0.000")&amp;"
("&amp;TEXT(AD46,"0.000")&amp;")"</f>
        <v>−0.132
(0.076)</v>
      </c>
      <c r="L46" s="4" t="str">
        <f>TEXT(S46,"0.000")&amp;"
("&amp;TEXT(AE46,"0.000")&amp;")"</f>
        <v>0.135
(0.070)</v>
      </c>
      <c r="M46" s="3"/>
      <c r="N46" s="3"/>
      <c r="O46" s="3" t="s">
        <v>78</v>
      </c>
      <c r="P46" s="3">
        <v>1.0009999999999999</v>
      </c>
      <c r="Q46" s="3">
        <v>1.349</v>
      </c>
      <c r="R46" s="3" t="s">
        <v>79</v>
      </c>
      <c r="S46" s="3">
        <v>0.13500000000000001</v>
      </c>
      <c r="T46" s="3">
        <v>2.3E-2</v>
      </c>
      <c r="U46" s="3">
        <v>0.188</v>
      </c>
      <c r="V46" s="3">
        <v>0.745</v>
      </c>
      <c r="W46" s="3">
        <v>0.55500000000000005</v>
      </c>
      <c r="X46" s="3">
        <v>10.25</v>
      </c>
      <c r="Y46" s="3">
        <v>0.86399999999999999</v>
      </c>
      <c r="Z46" s="3">
        <v>0.76300000000000001</v>
      </c>
      <c r="AA46" s="3">
        <v>0.62</v>
      </c>
      <c r="AB46" s="3">
        <v>0.59</v>
      </c>
      <c r="AC46" s="3">
        <v>1.472</v>
      </c>
      <c r="AD46" s="3">
        <v>7.5999999999999998E-2</v>
      </c>
      <c r="AE46" s="3">
        <v>7.0000000000000007E-2</v>
      </c>
      <c r="AF46" s="3">
        <v>2.1000000000000001E-2</v>
      </c>
      <c r="AG46" s="3">
        <v>0.19400000000000001</v>
      </c>
      <c r="AH46" s="3">
        <v>0.51100000000000001</v>
      </c>
      <c r="AI46" s="3">
        <v>0.498</v>
      </c>
      <c r="AJ46" s="3">
        <v>13.321999999999999</v>
      </c>
      <c r="AK46" s="3">
        <v>5.3999999999999999E-2</v>
      </c>
      <c r="AL46" s="3">
        <v>5.7000000000000002E-2</v>
      </c>
      <c r="AM46" s="3">
        <v>1.161</v>
      </c>
      <c r="AN46" s="3">
        <v>0.152</v>
      </c>
    </row>
    <row r="47" spans="1:40" ht="30" x14ac:dyDescent="0.2">
      <c r="A47" s="3" t="s">
        <v>67</v>
      </c>
      <c r="B47" s="3" t="s">
        <v>31</v>
      </c>
      <c r="C47" s="3" t="s">
        <v>37</v>
      </c>
      <c r="D47" s="3">
        <v>4</v>
      </c>
      <c r="E47" s="4" t="str">
        <f>TEXT(O47,"0.000")&amp;"
("&amp;TEXT(AA47,"0.000")&amp;")"</f>
        <v>0.032
(0.506)</v>
      </c>
      <c r="F47" s="4" t="str">
        <f>TEXT(P47,"0.000")&amp;"
("&amp;TEXT(AB47,"0.000")&amp;")"</f>
        <v>0.398
(0.313)</v>
      </c>
      <c r="G47" s="5">
        <f>SQRT(Q47)</f>
        <v>0.50596442562694066</v>
      </c>
      <c r="H47" s="5">
        <f>+V47</f>
        <v>0.28399999999999997</v>
      </c>
      <c r="I47" s="5">
        <f>+W47</f>
        <v>0.98</v>
      </c>
      <c r="J47" s="5">
        <f>+X47</f>
        <v>2.4990000000000001</v>
      </c>
      <c r="K47" s="4" t="str">
        <f>TEXT(R47,"0.000")&amp;"
("&amp;TEXT(AD47,"0.000")&amp;")"</f>
        <v>0.007
(0.080)</v>
      </c>
      <c r="L47" s="4" t="str">
        <f>TEXT(S47,"0.000")&amp;"
("&amp;TEXT(AE47,"0.000")&amp;")"</f>
        <v>0.064
(0.049)</v>
      </c>
      <c r="M47" s="3"/>
      <c r="N47" s="3"/>
      <c r="O47" s="3">
        <v>3.2000000000000001E-2</v>
      </c>
      <c r="P47" s="3">
        <v>0.39800000000000002</v>
      </c>
      <c r="Q47" s="3">
        <v>0.25600000000000001</v>
      </c>
      <c r="R47" s="3">
        <v>7.0000000000000001E-3</v>
      </c>
      <c r="S47" s="3">
        <v>6.4000000000000001E-2</v>
      </c>
      <c r="T47" s="3">
        <v>6.0000000000000001E-3</v>
      </c>
      <c r="U47" s="3">
        <v>0.04</v>
      </c>
      <c r="V47" s="3">
        <v>0.28399999999999997</v>
      </c>
      <c r="W47" s="3">
        <v>0.98</v>
      </c>
      <c r="X47" s="3">
        <v>2.4990000000000001</v>
      </c>
      <c r="Y47" s="3">
        <v>0.875</v>
      </c>
      <c r="Z47" s="3">
        <v>0.80100000000000005</v>
      </c>
      <c r="AA47" s="3">
        <v>0.50600000000000001</v>
      </c>
      <c r="AB47" s="3">
        <v>0.313</v>
      </c>
      <c r="AC47" s="3">
        <v>0.39500000000000002</v>
      </c>
      <c r="AD47" s="3">
        <v>0.08</v>
      </c>
      <c r="AE47" s="3">
        <v>4.9000000000000002E-2</v>
      </c>
      <c r="AF47" s="3">
        <v>8.9999999999999993E-3</v>
      </c>
      <c r="AG47" s="3">
        <v>0.06</v>
      </c>
      <c r="AH47" s="3">
        <v>0.20300000000000001</v>
      </c>
      <c r="AI47" s="3">
        <v>0.14000000000000001</v>
      </c>
      <c r="AJ47" s="3">
        <v>2.7519999999999998</v>
      </c>
      <c r="AK47" s="3">
        <v>4.3999999999999997E-2</v>
      </c>
      <c r="AL47" s="3">
        <v>5.1999999999999998E-2</v>
      </c>
      <c r="AM47" s="3">
        <v>0.50600000000000001</v>
      </c>
      <c r="AN47" s="3">
        <v>0.08</v>
      </c>
    </row>
    <row r="48" spans="1:40" ht="30" x14ac:dyDescent="0.2">
      <c r="A48" s="3" t="s">
        <v>67</v>
      </c>
      <c r="B48" s="3" t="s">
        <v>31</v>
      </c>
      <c r="C48" s="3" t="s">
        <v>38</v>
      </c>
      <c r="D48" s="3">
        <v>4</v>
      </c>
      <c r="E48" s="4" t="str">
        <f>TEXT(O48,"0.000")&amp;"
("&amp;TEXT(AA48,"0.000")&amp;")"</f>
        <v>0.091
(0.503)</v>
      </c>
      <c r="F48" s="4" t="str">
        <f>TEXT(P48,"0.000")&amp;"
("&amp;TEXT(AB48,"0.000")&amp;")"</f>
        <v>0.403
(0.312)</v>
      </c>
      <c r="G48" s="5">
        <f>SQRT(Q48)</f>
        <v>0.50990195135927852</v>
      </c>
      <c r="H48" s="5">
        <f>+V48</f>
        <v>0.29099999999999998</v>
      </c>
      <c r="I48" s="5">
        <f>+W48</f>
        <v>0.97</v>
      </c>
      <c r="J48" s="5">
        <f>+X48</f>
        <v>2.4289999999999998</v>
      </c>
      <c r="K48" s="4" t="str">
        <f>TEXT(R48,"0.000")&amp;"
("&amp;TEXT(AD48,"0.000")&amp;")"</f>
        <v>0.017
(0.081)</v>
      </c>
      <c r="L48" s="4" t="str">
        <f>TEXT(S48,"0.000")&amp;"
("&amp;TEXT(AE48,"0.000")&amp;")"</f>
        <v>0.066
(0.050)</v>
      </c>
      <c r="M48" s="3"/>
      <c r="N48" s="3"/>
      <c r="O48" s="3">
        <v>9.0999999999999998E-2</v>
      </c>
      <c r="P48" s="3">
        <v>0.40300000000000002</v>
      </c>
      <c r="Q48" s="3">
        <v>0.26</v>
      </c>
      <c r="R48" s="3">
        <v>1.7000000000000001E-2</v>
      </c>
      <c r="S48" s="3">
        <v>6.6000000000000003E-2</v>
      </c>
      <c r="T48" s="3">
        <v>7.0000000000000001E-3</v>
      </c>
      <c r="U48" s="3">
        <v>4.1000000000000002E-2</v>
      </c>
      <c r="V48" s="3">
        <v>0.29099999999999998</v>
      </c>
      <c r="W48" s="3">
        <v>0.97</v>
      </c>
      <c r="X48" s="3">
        <v>2.4289999999999998</v>
      </c>
      <c r="Y48" s="3">
        <v>0.872</v>
      </c>
      <c r="Z48" s="3">
        <v>0.79400000000000004</v>
      </c>
      <c r="AA48" s="3">
        <v>0.503</v>
      </c>
      <c r="AB48" s="3">
        <v>0.312</v>
      </c>
      <c r="AC48" s="3">
        <v>0.375</v>
      </c>
      <c r="AD48" s="3">
        <v>8.1000000000000003E-2</v>
      </c>
      <c r="AE48" s="3">
        <v>0.05</v>
      </c>
      <c r="AF48" s="3">
        <v>8.9999999999999993E-3</v>
      </c>
      <c r="AG48" s="3">
        <v>5.7000000000000002E-2</v>
      </c>
      <c r="AH48" s="3">
        <v>0.192</v>
      </c>
      <c r="AI48" s="3">
        <v>0.17100000000000001</v>
      </c>
      <c r="AJ48" s="3">
        <v>1.0980000000000001</v>
      </c>
      <c r="AK48" s="3">
        <v>4.4999999999999998E-2</v>
      </c>
      <c r="AL48" s="3">
        <v>5.7000000000000002E-2</v>
      </c>
      <c r="AM48" s="3">
        <v>0.51</v>
      </c>
      <c r="AN48" s="3">
        <v>8.2000000000000003E-2</v>
      </c>
    </row>
    <row r="49" spans="1:40" ht="30" x14ac:dyDescent="0.2">
      <c r="A49" s="3" t="s">
        <v>67</v>
      </c>
      <c r="B49" s="3" t="s">
        <v>31</v>
      </c>
      <c r="C49" s="3" t="s">
        <v>39</v>
      </c>
      <c r="D49" s="3">
        <v>4</v>
      </c>
      <c r="E49" s="4" t="str">
        <f>TEXT(O49,"0.000")&amp;"
("&amp;TEXT(AA49,"0.000")&amp;")"</f>
        <v>−0.423
(0.475)</v>
      </c>
      <c r="F49" s="4" t="str">
        <f>TEXT(P49,"0.000")&amp;"
("&amp;TEXT(AB49,"0.000")&amp;")"</f>
        <v>0.509
(0.381)</v>
      </c>
      <c r="G49" s="5">
        <f>SQRT(Q49)</f>
        <v>0.63560994328282816</v>
      </c>
      <c r="H49" s="5">
        <f>+V49</f>
        <v>0.34599999999999997</v>
      </c>
      <c r="I49" s="5">
        <f>+W49</f>
        <v>0.94</v>
      </c>
      <c r="J49" s="5">
        <f>+X49</f>
        <v>2.996</v>
      </c>
      <c r="K49" s="4" t="str">
        <f>TEXT(R49,"0.000")&amp;"
("&amp;TEXT(AD49,"0.000")&amp;")"</f>
        <v>−0.062
(0.069)</v>
      </c>
      <c r="L49" s="4" t="str">
        <f>TEXT(S49,"0.000")&amp;"
("&amp;TEXT(AE49,"0.000")&amp;")"</f>
        <v>0.075
(0.054)</v>
      </c>
      <c r="M49" s="3"/>
      <c r="N49" s="3"/>
      <c r="O49" s="3" t="s">
        <v>80</v>
      </c>
      <c r="P49" s="3">
        <v>0.50900000000000001</v>
      </c>
      <c r="Q49" s="3">
        <v>0.40400000000000003</v>
      </c>
      <c r="R49" s="3" t="s">
        <v>81</v>
      </c>
      <c r="S49" s="3">
        <v>7.4999999999999997E-2</v>
      </c>
      <c r="T49" s="3">
        <v>8.9999999999999993E-3</v>
      </c>
      <c r="U49" s="3">
        <v>6.0999999999999999E-2</v>
      </c>
      <c r="V49" s="3">
        <v>0.34599999999999997</v>
      </c>
      <c r="W49" s="3">
        <v>0.94</v>
      </c>
      <c r="X49" s="3">
        <v>2.996</v>
      </c>
      <c r="Y49" s="3">
        <v>0.877</v>
      </c>
      <c r="Z49" s="3">
        <v>0.77700000000000002</v>
      </c>
      <c r="AA49" s="3">
        <v>0.47499999999999998</v>
      </c>
      <c r="AB49" s="3">
        <v>0.38100000000000001</v>
      </c>
      <c r="AC49" s="3">
        <v>0.55000000000000004</v>
      </c>
      <c r="AD49" s="3">
        <v>6.9000000000000006E-2</v>
      </c>
      <c r="AE49" s="3">
        <v>5.3999999999999999E-2</v>
      </c>
      <c r="AF49" s="3">
        <v>1.0999999999999999E-2</v>
      </c>
      <c r="AG49" s="3">
        <v>8.2000000000000003E-2</v>
      </c>
      <c r="AH49" s="3">
        <v>0.245</v>
      </c>
      <c r="AI49" s="3">
        <v>0.23799999999999999</v>
      </c>
      <c r="AJ49" s="3">
        <v>3.0430000000000001</v>
      </c>
      <c r="AK49" s="3">
        <v>4.7E-2</v>
      </c>
      <c r="AL49" s="3">
        <v>5.5E-2</v>
      </c>
      <c r="AM49" s="3">
        <v>0.63500000000000001</v>
      </c>
      <c r="AN49" s="3">
        <v>9.2999999999999999E-2</v>
      </c>
    </row>
    <row r="50" spans="1:40" ht="30" x14ac:dyDescent="0.2">
      <c r="A50" s="3" t="s">
        <v>67</v>
      </c>
      <c r="B50" s="3" t="s">
        <v>57</v>
      </c>
      <c r="C50" s="3" t="s">
        <v>32</v>
      </c>
      <c r="D50" s="3">
        <v>0</v>
      </c>
      <c r="E50" s="4" t="str">
        <f>TEXT(O50,"0.000")&amp;"
("&amp;TEXT(AA50,"0.000")&amp;")"</f>
        <v>0.001
(0.137)</v>
      </c>
      <c r="F50" s="4" t="str">
        <f>TEXT(P50,"0.000")&amp;"
("&amp;TEXT(AB50,"0.000")&amp;")"</f>
        <v>0.106
(0.086)</v>
      </c>
      <c r="G50" s="5">
        <f>SQRT(Q50)</f>
        <v>0.13784048752090222</v>
      </c>
      <c r="H50" s="5">
        <f>+V50</f>
        <v>7.6999999999999999E-2</v>
      </c>
      <c r="I50" s="5">
        <f>+W50</f>
        <v>0.9</v>
      </c>
      <c r="J50" s="5">
        <f>+X50</f>
        <v>0.67</v>
      </c>
      <c r="K50" s="4" t="str">
        <f>TEXT(R50,"0.000")&amp;"
("&amp;TEXT(AD50,"0.000")&amp;")"</f>
        <v>0.004
(0.137)</v>
      </c>
      <c r="L50" s="4" t="str">
        <f>TEXT(S50,"0.000")&amp;"
("&amp;TEXT(AE50,"0.000")&amp;")"</f>
        <v>0.107
(0.085)</v>
      </c>
      <c r="M50" s="3"/>
      <c r="N50" s="3"/>
      <c r="O50" s="3">
        <v>1E-3</v>
      </c>
      <c r="P50" s="3">
        <v>0.106</v>
      </c>
      <c r="Q50" s="3">
        <v>1.9E-2</v>
      </c>
      <c r="R50" s="3">
        <v>4.0000000000000001E-3</v>
      </c>
      <c r="S50" s="3">
        <v>0.107</v>
      </c>
      <c r="T50" s="3">
        <v>1.9E-2</v>
      </c>
      <c r="U50" s="3">
        <v>1.9E-2</v>
      </c>
      <c r="V50" s="3">
        <v>7.6999999999999999E-2</v>
      </c>
      <c r="W50" s="3">
        <v>0.9</v>
      </c>
      <c r="X50" s="3">
        <v>0.67</v>
      </c>
      <c r="Y50" s="3">
        <v>0.57699999999999996</v>
      </c>
      <c r="Z50" s="3">
        <v>0.51500000000000001</v>
      </c>
      <c r="AA50" s="3">
        <v>0.13700000000000001</v>
      </c>
      <c r="AB50" s="3">
        <v>8.5999999999999993E-2</v>
      </c>
      <c r="AC50" s="3">
        <v>2.5999999999999999E-2</v>
      </c>
      <c r="AD50" s="3">
        <v>0.13700000000000001</v>
      </c>
      <c r="AE50" s="3">
        <v>8.5000000000000006E-2</v>
      </c>
      <c r="AF50" s="3">
        <v>2.5000000000000001E-2</v>
      </c>
      <c r="AG50" s="3">
        <v>2.5000000000000001E-2</v>
      </c>
      <c r="AH50" s="3">
        <v>5.8000000000000003E-2</v>
      </c>
      <c r="AI50" s="3">
        <v>0.30099999999999999</v>
      </c>
      <c r="AJ50" s="3">
        <v>0.79600000000000004</v>
      </c>
      <c r="AK50" s="3">
        <v>0.112</v>
      </c>
      <c r="AL50" s="3">
        <v>8.8999999999999996E-2</v>
      </c>
      <c r="AM50" s="3">
        <v>0.13700000000000001</v>
      </c>
      <c r="AN50" s="3">
        <v>0.13700000000000001</v>
      </c>
    </row>
    <row r="51" spans="1:40" ht="30" x14ac:dyDescent="0.2">
      <c r="A51" s="3" t="s">
        <v>67</v>
      </c>
      <c r="B51" s="3" t="s">
        <v>57</v>
      </c>
      <c r="C51" s="3" t="s">
        <v>35</v>
      </c>
      <c r="D51" s="3">
        <v>0</v>
      </c>
      <c r="E51" s="4" t="str">
        <f>TEXT(O51,"0.000")&amp;"
("&amp;TEXT(AA51,"0.000")&amp;")"</f>
        <v>0.086
(0.130)</v>
      </c>
      <c r="F51" s="4" t="str">
        <f>TEXT(P51,"0.000")&amp;"
("&amp;TEXT(AB51,"0.000")&amp;")"</f>
        <v>0.123
(0.097)</v>
      </c>
      <c r="G51" s="5">
        <f>SQRT(Q51)</f>
        <v>0.15491933384829668</v>
      </c>
      <c r="H51" s="5">
        <f>+V51</f>
        <v>8.6999999999999994E-2</v>
      </c>
      <c r="I51" s="5">
        <f>+W51</f>
        <v>0.87</v>
      </c>
      <c r="J51" s="5">
        <f>+X51</f>
        <v>0.79500000000000004</v>
      </c>
      <c r="K51" s="4" t="str">
        <f>TEXT(R51,"0.000")&amp;"
("&amp;TEXT(AD51,"0.000")&amp;")"</f>
        <v>0.099
(0.147)</v>
      </c>
      <c r="L51" s="4" t="str">
        <f>TEXT(S51,"0.000")&amp;"
("&amp;TEXT(AE51,"0.000")&amp;")"</f>
        <v>0.138
(0.111)</v>
      </c>
      <c r="M51" s="3"/>
      <c r="N51" s="3"/>
      <c r="O51" s="3">
        <v>8.5999999999999993E-2</v>
      </c>
      <c r="P51" s="3">
        <v>0.123</v>
      </c>
      <c r="Q51" s="3">
        <v>2.4E-2</v>
      </c>
      <c r="R51" s="3">
        <v>9.9000000000000005E-2</v>
      </c>
      <c r="S51" s="3">
        <v>0.13800000000000001</v>
      </c>
      <c r="T51" s="3">
        <v>3.1E-2</v>
      </c>
      <c r="U51" s="3">
        <v>2.5000000000000001E-2</v>
      </c>
      <c r="V51" s="3">
        <v>8.6999999999999994E-2</v>
      </c>
      <c r="W51" s="3">
        <v>0.87</v>
      </c>
      <c r="X51" s="3">
        <v>0.79500000000000004</v>
      </c>
      <c r="Y51" s="3">
        <v>0.56699999999999995</v>
      </c>
      <c r="Z51" s="3">
        <v>0.52300000000000002</v>
      </c>
      <c r="AA51" s="3">
        <v>0.13</v>
      </c>
      <c r="AB51" s="3">
        <v>9.7000000000000003E-2</v>
      </c>
      <c r="AC51" s="3">
        <v>3.5999999999999997E-2</v>
      </c>
      <c r="AD51" s="3">
        <v>0.14699999999999999</v>
      </c>
      <c r="AE51" s="3">
        <v>0.111</v>
      </c>
      <c r="AF51" s="3">
        <v>4.5999999999999999E-2</v>
      </c>
      <c r="AG51" s="3">
        <v>3.5000000000000003E-2</v>
      </c>
      <c r="AH51" s="3">
        <v>7.0999999999999994E-2</v>
      </c>
      <c r="AI51" s="3">
        <v>0.33700000000000002</v>
      </c>
      <c r="AJ51" s="3">
        <v>1.228</v>
      </c>
      <c r="AK51" s="3">
        <v>0.127</v>
      </c>
      <c r="AL51" s="3">
        <v>8.6999999999999994E-2</v>
      </c>
      <c r="AM51" s="3">
        <v>0.156</v>
      </c>
      <c r="AN51" s="3">
        <v>0.17699999999999999</v>
      </c>
    </row>
    <row r="52" spans="1:40" ht="30" x14ac:dyDescent="0.2">
      <c r="A52" s="3" t="s">
        <v>67</v>
      </c>
      <c r="B52" s="3" t="s">
        <v>57</v>
      </c>
      <c r="C52" s="3" t="s">
        <v>36</v>
      </c>
      <c r="D52" s="3">
        <v>0</v>
      </c>
      <c r="E52" s="4" t="str">
        <f>TEXT(O52,"0.000")&amp;"
("&amp;TEXT(AA52,"0.000")&amp;")"</f>
        <v>0.084
(0.128)</v>
      </c>
      <c r="F52" s="4" t="str">
        <f>TEXT(P52,"0.000")&amp;"
("&amp;TEXT(AB52,"0.000")&amp;")"</f>
        <v>0.120
(0.096)</v>
      </c>
      <c r="G52" s="5">
        <f>SQRT(Q52)</f>
        <v>0.15491933384829668</v>
      </c>
      <c r="H52" s="5">
        <f>+V52</f>
        <v>8.7999999999999995E-2</v>
      </c>
      <c r="I52" s="5">
        <f>+W52</f>
        <v>0.85</v>
      </c>
      <c r="J52" s="5">
        <f>+X52</f>
        <v>0.89100000000000001</v>
      </c>
      <c r="K52" s="4" t="str">
        <f>TEXT(R52,"0.000")&amp;"
("&amp;TEXT(AD52,"0.000")&amp;")"</f>
        <v>0.096
(0.144)</v>
      </c>
      <c r="L52" s="4" t="str">
        <f>TEXT(S52,"0.000")&amp;"
("&amp;TEXT(AE52,"0.000")&amp;")"</f>
        <v>0.134
(0.109)</v>
      </c>
      <c r="M52" s="3"/>
      <c r="N52" s="3"/>
      <c r="O52" s="3">
        <v>8.4000000000000005E-2</v>
      </c>
      <c r="P52" s="3">
        <v>0.12</v>
      </c>
      <c r="Q52" s="3">
        <v>2.4E-2</v>
      </c>
      <c r="R52" s="3">
        <v>9.6000000000000002E-2</v>
      </c>
      <c r="S52" s="3">
        <v>0.13400000000000001</v>
      </c>
      <c r="T52" s="3">
        <v>0.03</v>
      </c>
      <c r="U52" s="3">
        <v>2.4E-2</v>
      </c>
      <c r="V52" s="3">
        <v>8.7999999999999995E-2</v>
      </c>
      <c r="W52" s="3">
        <v>0.85</v>
      </c>
      <c r="X52" s="3">
        <v>0.89100000000000001</v>
      </c>
      <c r="Y52" s="3">
        <v>0.57299999999999995</v>
      </c>
      <c r="Z52" s="3">
        <v>0.52900000000000003</v>
      </c>
      <c r="AA52" s="3">
        <v>0.128</v>
      </c>
      <c r="AB52" s="3">
        <v>9.6000000000000002E-2</v>
      </c>
      <c r="AC52" s="3">
        <v>3.5000000000000003E-2</v>
      </c>
      <c r="AD52" s="3">
        <v>0.14399999999999999</v>
      </c>
      <c r="AE52" s="3">
        <v>0.109</v>
      </c>
      <c r="AF52" s="3">
        <v>4.3999999999999997E-2</v>
      </c>
      <c r="AG52" s="3">
        <v>3.4000000000000002E-2</v>
      </c>
      <c r="AH52" s="3">
        <v>7.3999999999999996E-2</v>
      </c>
      <c r="AI52" s="3">
        <v>0.35799999999999998</v>
      </c>
      <c r="AJ52" s="3">
        <v>1.4510000000000001</v>
      </c>
      <c r="AK52" s="3">
        <v>0.123</v>
      </c>
      <c r="AL52" s="3">
        <v>8.7999999999999995E-2</v>
      </c>
      <c r="AM52" s="3">
        <v>0.153</v>
      </c>
      <c r="AN52" s="3">
        <v>0.17299999999999999</v>
      </c>
    </row>
    <row r="53" spans="1:40" ht="30" x14ac:dyDescent="0.2">
      <c r="A53" s="3" t="s">
        <v>67</v>
      </c>
      <c r="B53" s="3" t="s">
        <v>57</v>
      </c>
      <c r="C53" s="3" t="s">
        <v>37</v>
      </c>
      <c r="D53" s="3">
        <v>0</v>
      </c>
      <c r="E53" s="4" t="str">
        <f>TEXT(O53,"0.000")&amp;"
("&amp;TEXT(AA53,"0.000")&amp;")"</f>
        <v>0.032
(0.131)</v>
      </c>
      <c r="F53" s="4" t="str">
        <f>TEXT(P53,"0.000")&amp;"
("&amp;TEXT(AB53,"0.000")&amp;")"</f>
        <v>0.107
(0.081)</v>
      </c>
      <c r="G53" s="5">
        <f>SQRT(Q53)</f>
        <v>0.13416407864998739</v>
      </c>
      <c r="H53" s="5">
        <f>+V53</f>
        <v>7.5999999999999998E-2</v>
      </c>
      <c r="I53" s="5">
        <f>+W53</f>
        <v>0.91500000000000004</v>
      </c>
      <c r="J53" s="5">
        <f>+X53</f>
        <v>0.64700000000000002</v>
      </c>
      <c r="K53" s="4" t="str">
        <f>TEXT(R53,"0.000")&amp;"
("&amp;TEXT(AD53,"0.000")&amp;")"</f>
        <v>0.035
(0.135)</v>
      </c>
      <c r="L53" s="4" t="str">
        <f>TEXT(S53,"0.000")&amp;"
("&amp;TEXT(AE53,"0.000")&amp;")"</f>
        <v>0.112
(0.083)</v>
      </c>
      <c r="M53" s="3"/>
      <c r="N53" s="3"/>
      <c r="O53" s="3">
        <v>3.2000000000000001E-2</v>
      </c>
      <c r="P53" s="3">
        <v>0.107</v>
      </c>
      <c r="Q53" s="3">
        <v>1.7999999999999999E-2</v>
      </c>
      <c r="R53" s="3">
        <v>3.5000000000000003E-2</v>
      </c>
      <c r="S53" s="3">
        <v>0.112</v>
      </c>
      <c r="T53" s="3">
        <v>1.9E-2</v>
      </c>
      <c r="U53" s="3">
        <v>1.7999999999999999E-2</v>
      </c>
      <c r="V53" s="3">
        <v>7.5999999999999998E-2</v>
      </c>
      <c r="W53" s="3">
        <v>0.91500000000000004</v>
      </c>
      <c r="X53" s="3">
        <v>0.64700000000000002</v>
      </c>
      <c r="Y53" s="3">
        <v>0.60399999999999998</v>
      </c>
      <c r="Z53" s="3">
        <v>0.54900000000000004</v>
      </c>
      <c r="AA53" s="3">
        <v>0.13100000000000001</v>
      </c>
      <c r="AB53" s="3">
        <v>8.1000000000000003E-2</v>
      </c>
      <c r="AC53" s="3">
        <v>2.5000000000000001E-2</v>
      </c>
      <c r="AD53" s="3">
        <v>0.13500000000000001</v>
      </c>
      <c r="AE53" s="3">
        <v>8.3000000000000004E-2</v>
      </c>
      <c r="AF53" s="3">
        <v>2.5999999999999999E-2</v>
      </c>
      <c r="AG53" s="3">
        <v>2.4E-2</v>
      </c>
      <c r="AH53" s="3">
        <v>5.8000000000000003E-2</v>
      </c>
      <c r="AI53" s="3">
        <v>0.28000000000000003</v>
      </c>
      <c r="AJ53" s="3">
        <v>0.78600000000000003</v>
      </c>
      <c r="AK53" s="3">
        <v>0.10299999999999999</v>
      </c>
      <c r="AL53" s="3">
        <v>8.5000000000000006E-2</v>
      </c>
      <c r="AM53" s="3">
        <v>0.13400000000000001</v>
      </c>
      <c r="AN53" s="3">
        <v>0.14000000000000001</v>
      </c>
    </row>
    <row r="54" spans="1:40" ht="30" x14ac:dyDescent="0.2">
      <c r="A54" s="3" t="s">
        <v>67</v>
      </c>
      <c r="B54" s="3" t="s">
        <v>57</v>
      </c>
      <c r="C54" s="3" t="s">
        <v>38</v>
      </c>
      <c r="D54" s="3">
        <v>0</v>
      </c>
      <c r="E54" s="4" t="str">
        <f>TEXT(O54,"0.000")&amp;"
("&amp;TEXT(AA54,"0.000")&amp;")"</f>
        <v>0.049
(0.128)</v>
      </c>
      <c r="F54" s="4" t="str">
        <f>TEXT(P54,"0.000")&amp;"
("&amp;TEXT(AB54,"0.000")&amp;")"</f>
        <v>0.109
(0.083)</v>
      </c>
      <c r="G54" s="5">
        <f>SQRT(Q54)</f>
        <v>0.13784048752090222</v>
      </c>
      <c r="H54" s="5">
        <f>+V54</f>
        <v>7.8E-2</v>
      </c>
      <c r="I54" s="5">
        <f>+W54</f>
        <v>0.91</v>
      </c>
      <c r="J54" s="5">
        <f>+X54</f>
        <v>0.66600000000000004</v>
      </c>
      <c r="K54" s="4" t="str">
        <f>TEXT(R54,"0.000")&amp;"
("&amp;TEXT(AD54,"0.000")&amp;")"</f>
        <v>0.053
(0.135)</v>
      </c>
      <c r="L54" s="4" t="str">
        <f>TEXT(S54,"0.000")&amp;"
("&amp;TEXT(AE54,"0.000")&amp;")"</f>
        <v>0.116
(0.087)</v>
      </c>
      <c r="M54" s="3"/>
      <c r="N54" s="3"/>
      <c r="O54" s="3">
        <v>4.9000000000000002E-2</v>
      </c>
      <c r="P54" s="3">
        <v>0.109</v>
      </c>
      <c r="Q54" s="3">
        <v>1.9E-2</v>
      </c>
      <c r="R54" s="3">
        <v>5.2999999999999999E-2</v>
      </c>
      <c r="S54" s="3">
        <v>0.11600000000000001</v>
      </c>
      <c r="T54" s="3">
        <v>2.1000000000000001E-2</v>
      </c>
      <c r="U54" s="3">
        <v>1.9E-2</v>
      </c>
      <c r="V54" s="3">
        <v>7.8E-2</v>
      </c>
      <c r="W54" s="3">
        <v>0.91</v>
      </c>
      <c r="X54" s="3">
        <v>0.66600000000000004</v>
      </c>
      <c r="Y54" s="3">
        <v>0.60899999999999999</v>
      </c>
      <c r="Z54" s="3">
        <v>0.55200000000000005</v>
      </c>
      <c r="AA54" s="3">
        <v>0.128</v>
      </c>
      <c r="AB54" s="3">
        <v>8.3000000000000004E-2</v>
      </c>
      <c r="AC54" s="3">
        <v>2.5999999999999999E-2</v>
      </c>
      <c r="AD54" s="3">
        <v>0.13500000000000001</v>
      </c>
      <c r="AE54" s="3">
        <v>8.6999999999999994E-2</v>
      </c>
      <c r="AF54" s="3">
        <v>2.8000000000000001E-2</v>
      </c>
      <c r="AG54" s="3">
        <v>2.5000000000000001E-2</v>
      </c>
      <c r="AH54" s="3">
        <v>0.06</v>
      </c>
      <c r="AI54" s="3">
        <v>0.28699999999999998</v>
      </c>
      <c r="AJ54" s="3">
        <v>0.83599999999999997</v>
      </c>
      <c r="AK54" s="3">
        <v>0.10199999999999999</v>
      </c>
      <c r="AL54" s="3">
        <v>8.4000000000000005E-2</v>
      </c>
      <c r="AM54" s="3">
        <v>0.13700000000000001</v>
      </c>
      <c r="AN54" s="3">
        <v>0.14499999999999999</v>
      </c>
    </row>
    <row r="55" spans="1:40" ht="30" x14ac:dyDescent="0.2">
      <c r="A55" s="3" t="s">
        <v>67</v>
      </c>
      <c r="B55" s="3" t="s">
        <v>57</v>
      </c>
      <c r="C55" s="3" t="s">
        <v>39</v>
      </c>
      <c r="D55" s="3">
        <v>0</v>
      </c>
      <c r="E55" s="4" t="str">
        <f>TEXT(O55,"0.000")&amp;"
("&amp;TEXT(AA55,"0.000")&amp;")"</f>
        <v>0.039
(0.129)</v>
      </c>
      <c r="F55" s="4" t="str">
        <f>TEXT(P55,"0.000")&amp;"
("&amp;TEXT(AB55,"0.000")&amp;")"</f>
        <v>0.107
(0.081)</v>
      </c>
      <c r="G55" s="5">
        <f>SQRT(Q55)</f>
        <v>0.13416407864998739</v>
      </c>
      <c r="H55" s="5">
        <f>+V55</f>
        <v>7.5999999999999998E-2</v>
      </c>
      <c r="I55" s="5">
        <f>+W55</f>
        <v>0.95</v>
      </c>
      <c r="J55" s="5">
        <f>+X55</f>
        <v>0.65700000000000003</v>
      </c>
      <c r="K55" s="4" t="str">
        <f>TEXT(R55,"0.000")&amp;"
("&amp;TEXT(AD55,"0.000")&amp;")"</f>
        <v>0.043
(0.135)</v>
      </c>
      <c r="L55" s="4" t="str">
        <f>TEXT(S55,"0.000")&amp;"
("&amp;TEXT(AE55,"0.000")&amp;")"</f>
        <v>0.114
(0.085)</v>
      </c>
      <c r="M55" s="3"/>
      <c r="N55" s="3"/>
      <c r="O55" s="3">
        <v>3.9E-2</v>
      </c>
      <c r="P55" s="3">
        <v>0.107</v>
      </c>
      <c r="Q55" s="3">
        <v>1.7999999999999999E-2</v>
      </c>
      <c r="R55" s="3">
        <v>4.2999999999999997E-2</v>
      </c>
      <c r="S55" s="3">
        <v>0.114</v>
      </c>
      <c r="T55" s="3">
        <v>0.02</v>
      </c>
      <c r="U55" s="3">
        <v>1.7999999999999999E-2</v>
      </c>
      <c r="V55" s="3">
        <v>7.5999999999999998E-2</v>
      </c>
      <c r="W55" s="3">
        <v>0.95</v>
      </c>
      <c r="X55" s="3">
        <v>0.65700000000000003</v>
      </c>
      <c r="Y55" s="3">
        <v>0.59</v>
      </c>
      <c r="Z55" s="3">
        <v>0.54700000000000004</v>
      </c>
      <c r="AA55" s="3">
        <v>0.129</v>
      </c>
      <c r="AB55" s="3">
        <v>8.1000000000000003E-2</v>
      </c>
      <c r="AC55" s="3">
        <v>2.5999999999999999E-2</v>
      </c>
      <c r="AD55" s="3">
        <v>0.13500000000000001</v>
      </c>
      <c r="AE55" s="3">
        <v>8.5000000000000006E-2</v>
      </c>
      <c r="AF55" s="3">
        <v>2.8000000000000001E-2</v>
      </c>
      <c r="AG55" s="3">
        <v>2.5000000000000001E-2</v>
      </c>
      <c r="AH55" s="3">
        <v>5.8000000000000003E-2</v>
      </c>
      <c r="AI55" s="3">
        <v>0.218</v>
      </c>
      <c r="AJ55" s="3">
        <v>0.83799999999999997</v>
      </c>
      <c r="AK55" s="3">
        <v>0.113</v>
      </c>
      <c r="AL55" s="3">
        <v>8.6999999999999994E-2</v>
      </c>
      <c r="AM55" s="3">
        <v>0.13400000000000001</v>
      </c>
      <c r="AN55" s="3">
        <v>0.14199999999999999</v>
      </c>
    </row>
    <row r="56" spans="1:40" ht="30" x14ac:dyDescent="0.2">
      <c r="A56" s="3" t="s">
        <v>67</v>
      </c>
      <c r="B56" s="3" t="s">
        <v>57</v>
      </c>
      <c r="C56" s="3" t="s">
        <v>32</v>
      </c>
      <c r="D56" s="3">
        <v>4</v>
      </c>
      <c r="E56" s="4" t="str">
        <f>TEXT(O56,"0.000")&amp;"
("&amp;TEXT(AA56,"0.000")&amp;")"</f>
        <v>−0.027
(0.461)</v>
      </c>
      <c r="F56" s="4" t="str">
        <f>TEXT(P56,"0.000")&amp;"
("&amp;TEXT(AB56,"0.000")&amp;")"</f>
        <v>0.364
(0.283)</v>
      </c>
      <c r="G56" s="5">
        <f>SQRT(Q56)</f>
        <v>0.46151923036857306</v>
      </c>
      <c r="H56" s="5">
        <f>+V56</f>
        <v>0.26200000000000001</v>
      </c>
      <c r="I56" s="5">
        <f>+W56</f>
        <v>0.93500000000000005</v>
      </c>
      <c r="J56" s="5">
        <f>+X56</f>
        <v>2.3769999999999998</v>
      </c>
      <c r="K56" s="4" t="str">
        <f>TEXT(R56,"0.000")&amp;"
("&amp;TEXT(AD56,"0.000")&amp;")"</f>
        <v>−0.004
(0.094)</v>
      </c>
      <c r="L56" s="4" t="str">
        <f>TEXT(S56,"0.000")&amp;"
("&amp;TEXT(AE56,"0.000")&amp;")"</f>
        <v>0.074
(0.058)</v>
      </c>
      <c r="M56" s="3"/>
      <c r="N56" s="3"/>
      <c r="O56" s="3" t="s">
        <v>64</v>
      </c>
      <c r="P56" s="3">
        <v>0.36399999999999999</v>
      </c>
      <c r="Q56" s="3">
        <v>0.21299999999999999</v>
      </c>
      <c r="R56" s="3" t="s">
        <v>33</v>
      </c>
      <c r="S56" s="3">
        <v>7.3999999999999996E-2</v>
      </c>
      <c r="T56" s="3">
        <v>8.9999999999999993E-3</v>
      </c>
      <c r="U56" s="3">
        <v>4.2999999999999997E-2</v>
      </c>
      <c r="V56" s="3">
        <v>0.26200000000000001</v>
      </c>
      <c r="W56" s="3">
        <v>0.93500000000000005</v>
      </c>
      <c r="X56" s="3">
        <v>2.3769999999999998</v>
      </c>
      <c r="Y56" s="3">
        <v>0.79400000000000004</v>
      </c>
      <c r="Z56" s="3">
        <v>0.73599999999999999</v>
      </c>
      <c r="AA56" s="3">
        <v>0.46100000000000002</v>
      </c>
      <c r="AB56" s="3">
        <v>0.28299999999999997</v>
      </c>
      <c r="AC56" s="3">
        <v>0.30399999999999999</v>
      </c>
      <c r="AD56" s="3">
        <v>9.4E-2</v>
      </c>
      <c r="AE56" s="3">
        <v>5.8000000000000003E-2</v>
      </c>
      <c r="AF56" s="3">
        <v>1.2999999999999999E-2</v>
      </c>
      <c r="AG56" s="3">
        <v>6.0999999999999999E-2</v>
      </c>
      <c r="AH56" s="3">
        <v>0.19600000000000001</v>
      </c>
      <c r="AI56" s="3">
        <v>0.247</v>
      </c>
      <c r="AJ56" s="3">
        <v>2.778</v>
      </c>
      <c r="AK56" s="3">
        <v>0.10100000000000001</v>
      </c>
      <c r="AL56" s="3">
        <v>7.2999999999999995E-2</v>
      </c>
      <c r="AM56" s="3">
        <v>0.46100000000000002</v>
      </c>
      <c r="AN56" s="3">
        <v>9.4E-2</v>
      </c>
    </row>
    <row r="57" spans="1:40" ht="30" x14ac:dyDescent="0.2">
      <c r="A57" s="3" t="s">
        <v>67</v>
      </c>
      <c r="B57" s="3" t="s">
        <v>57</v>
      </c>
      <c r="C57" s="3" t="s">
        <v>35</v>
      </c>
      <c r="D57" s="3">
        <v>4</v>
      </c>
      <c r="E57" s="4" t="str">
        <f>TEXT(O57,"0.000")&amp;"
("&amp;TEXT(AA57,"0.000")&amp;")"</f>
        <v>0.452
(0.484)</v>
      </c>
      <c r="F57" s="4" t="str">
        <f>TEXT(P57,"0.000")&amp;"
("&amp;TEXT(AB57,"0.000")&amp;")"</f>
        <v>0.534
(0.391)</v>
      </c>
      <c r="G57" s="5">
        <f>SQRT(Q57)</f>
        <v>0.66181568431097193</v>
      </c>
      <c r="H57" s="5">
        <f>+V57</f>
        <v>0.373</v>
      </c>
      <c r="I57" s="5">
        <f>+W57</f>
        <v>0.79</v>
      </c>
      <c r="J57" s="5">
        <f>+X57</f>
        <v>4.0490000000000004</v>
      </c>
      <c r="K57" s="4" t="str">
        <f>TEXT(R57,"0.000")&amp;"
("&amp;TEXT(AD57,"0.000")&amp;")"</f>
        <v>0.108
(0.114)</v>
      </c>
      <c r="L57" s="4" t="str">
        <f>TEXT(S57,"0.000")&amp;"
("&amp;TEXT(AE57,"0.000")&amp;")"</f>
        <v>0.124
(0.096)</v>
      </c>
      <c r="M57" s="3"/>
      <c r="N57" s="3"/>
      <c r="O57" s="3">
        <v>0.45200000000000001</v>
      </c>
      <c r="P57" s="3">
        <v>0.53400000000000003</v>
      </c>
      <c r="Q57" s="3">
        <v>0.438</v>
      </c>
      <c r="R57" s="3">
        <v>0.108</v>
      </c>
      <c r="S57" s="3">
        <v>0.124</v>
      </c>
      <c r="T57" s="3">
        <v>2.5000000000000001E-2</v>
      </c>
      <c r="U57" s="3">
        <v>9.6000000000000002E-2</v>
      </c>
      <c r="V57" s="3">
        <v>0.373</v>
      </c>
      <c r="W57" s="3">
        <v>0.79</v>
      </c>
      <c r="X57" s="3">
        <v>4.0490000000000004</v>
      </c>
      <c r="Y57" s="3">
        <v>0.81200000000000006</v>
      </c>
      <c r="Z57" s="3">
        <v>0.77600000000000002</v>
      </c>
      <c r="AA57" s="3">
        <v>0.48399999999999999</v>
      </c>
      <c r="AB57" s="3">
        <v>0.39100000000000001</v>
      </c>
      <c r="AC57" s="3">
        <v>0.628</v>
      </c>
      <c r="AD57" s="3">
        <v>0.114</v>
      </c>
      <c r="AE57" s="3">
        <v>9.6000000000000002E-2</v>
      </c>
      <c r="AF57" s="3">
        <v>3.6999999999999998E-2</v>
      </c>
      <c r="AG57" s="3">
        <v>0.13500000000000001</v>
      </c>
      <c r="AH57" s="3">
        <v>0.307</v>
      </c>
      <c r="AI57" s="3">
        <v>0.40799999999999997</v>
      </c>
      <c r="AJ57" s="3">
        <v>6.6550000000000002</v>
      </c>
      <c r="AK57" s="3">
        <v>0.10100000000000001</v>
      </c>
      <c r="AL57" s="3">
        <v>5.8999999999999997E-2</v>
      </c>
      <c r="AM57" s="3">
        <v>0.66200000000000003</v>
      </c>
      <c r="AN57" s="3">
        <v>0.157</v>
      </c>
    </row>
    <row r="58" spans="1:40" ht="30" x14ac:dyDescent="0.2">
      <c r="A58" s="3" t="s">
        <v>67</v>
      </c>
      <c r="B58" s="3" t="s">
        <v>57</v>
      </c>
      <c r="C58" s="3" t="s">
        <v>36</v>
      </c>
      <c r="D58" s="3">
        <v>4</v>
      </c>
      <c r="E58" s="4" t="str">
        <f>TEXT(O58,"0.000")&amp;"
("&amp;TEXT(AA58,"0.000")&amp;")"</f>
        <v>0.530
(0.495)</v>
      </c>
      <c r="F58" s="4" t="str">
        <f>TEXT(P58,"0.000")&amp;"
("&amp;TEXT(AB58,"0.000")&amp;")"</f>
        <v>0.602
(0.404)</v>
      </c>
      <c r="G58" s="5">
        <f>SQRT(Q58)</f>
        <v>0.72387844283415437</v>
      </c>
      <c r="H58" s="5">
        <f>+V58</f>
        <v>0.45</v>
      </c>
      <c r="I58" s="5">
        <f>+W58</f>
        <v>0.69499999999999995</v>
      </c>
      <c r="J58" s="5">
        <f>+X58</f>
        <v>5.9560000000000004</v>
      </c>
      <c r="K58" s="4" t="str">
        <f>TEXT(R58,"0.000")&amp;"
("&amp;TEXT(AD58,"0.000")&amp;")"</f>
        <v>0.128
(0.118)</v>
      </c>
      <c r="L58" s="4" t="str">
        <f>TEXT(S58,"0.000")&amp;"
("&amp;TEXT(AE58,"0.000")&amp;")"</f>
        <v>0.142
(0.101)</v>
      </c>
      <c r="M58" s="3"/>
      <c r="N58" s="3"/>
      <c r="O58" s="3">
        <v>0.53</v>
      </c>
      <c r="P58" s="3">
        <v>0.60199999999999998</v>
      </c>
      <c r="Q58" s="3">
        <v>0.52400000000000002</v>
      </c>
      <c r="R58" s="3">
        <v>0.128</v>
      </c>
      <c r="S58" s="3">
        <v>0.14199999999999999</v>
      </c>
      <c r="T58" s="3">
        <v>0.03</v>
      </c>
      <c r="U58" s="3">
        <v>0.11600000000000001</v>
      </c>
      <c r="V58" s="3">
        <v>0.45</v>
      </c>
      <c r="W58" s="3">
        <v>0.69499999999999995</v>
      </c>
      <c r="X58" s="3">
        <v>5.9560000000000004</v>
      </c>
      <c r="Y58" s="3">
        <v>0.80900000000000005</v>
      </c>
      <c r="Z58" s="3">
        <v>0.77300000000000002</v>
      </c>
      <c r="AA58" s="3">
        <v>0.495</v>
      </c>
      <c r="AB58" s="3">
        <v>0.40400000000000003</v>
      </c>
      <c r="AC58" s="3">
        <v>0.67800000000000005</v>
      </c>
      <c r="AD58" s="3">
        <v>0.11799999999999999</v>
      </c>
      <c r="AE58" s="3">
        <v>0.10100000000000001</v>
      </c>
      <c r="AF58" s="3">
        <v>4.1000000000000002E-2</v>
      </c>
      <c r="AG58" s="3">
        <v>0.14699999999999999</v>
      </c>
      <c r="AH58" s="3">
        <v>0.35</v>
      </c>
      <c r="AI58" s="3">
        <v>0.46200000000000002</v>
      </c>
      <c r="AJ58" s="3">
        <v>9.5640000000000001</v>
      </c>
      <c r="AK58" s="3">
        <v>0.10100000000000001</v>
      </c>
      <c r="AL58" s="3">
        <v>6.0999999999999999E-2</v>
      </c>
      <c r="AM58" s="3">
        <v>0.72399999999999998</v>
      </c>
      <c r="AN58" s="3">
        <v>0.17399999999999999</v>
      </c>
    </row>
    <row r="59" spans="1:40" ht="30" x14ac:dyDescent="0.2">
      <c r="A59" s="3" t="s">
        <v>67</v>
      </c>
      <c r="B59" s="3" t="s">
        <v>57</v>
      </c>
      <c r="C59" s="3" t="s">
        <v>37</v>
      </c>
      <c r="D59" s="3">
        <v>4</v>
      </c>
      <c r="E59" s="4" t="str">
        <f>TEXT(O59,"0.000")&amp;"
("&amp;TEXT(AA59,"0.000")&amp;")"</f>
        <v>0.351
(0.435)</v>
      </c>
      <c r="F59" s="4" t="str">
        <f>TEXT(P59,"0.000")&amp;"
("&amp;TEXT(AB59,"0.000")&amp;")"</f>
        <v>0.442
(0.341)</v>
      </c>
      <c r="G59" s="5">
        <f>SQRT(Q59)</f>
        <v>0.55767373974394741</v>
      </c>
      <c r="H59" s="5">
        <f>+V59</f>
        <v>0.32300000000000001</v>
      </c>
      <c r="I59" s="5">
        <f>+W59</f>
        <v>0.91</v>
      </c>
      <c r="J59" s="5">
        <f>+X59</f>
        <v>2.556</v>
      </c>
      <c r="K59" s="4" t="str">
        <f>TEXT(R59,"0.000")&amp;"
("&amp;TEXT(AD59,"0.000")&amp;")"</f>
        <v>0.077
(0.095)</v>
      </c>
      <c r="L59" s="4" t="str">
        <f>TEXT(S59,"0.000")&amp;"
("&amp;TEXT(AE59,"0.000")&amp;")"</f>
        <v>0.097
(0.075)</v>
      </c>
      <c r="M59" s="3"/>
      <c r="N59" s="3"/>
      <c r="O59" s="3">
        <v>0.35099999999999998</v>
      </c>
      <c r="P59" s="3">
        <v>0.442</v>
      </c>
      <c r="Q59" s="3">
        <v>0.311</v>
      </c>
      <c r="R59" s="3">
        <v>7.6999999999999999E-2</v>
      </c>
      <c r="S59" s="3">
        <v>9.7000000000000003E-2</v>
      </c>
      <c r="T59" s="3">
        <v>1.4999999999999999E-2</v>
      </c>
      <c r="U59" s="3">
        <v>6.4000000000000001E-2</v>
      </c>
      <c r="V59" s="3">
        <v>0.32300000000000001</v>
      </c>
      <c r="W59" s="3">
        <v>0.91</v>
      </c>
      <c r="X59" s="3">
        <v>2.556</v>
      </c>
      <c r="Y59" s="3">
        <v>0.82099999999999995</v>
      </c>
      <c r="Z59" s="3">
        <v>0.78100000000000003</v>
      </c>
      <c r="AA59" s="3">
        <v>0.435</v>
      </c>
      <c r="AB59" s="3">
        <v>0.34100000000000003</v>
      </c>
      <c r="AC59" s="3">
        <v>0.41899999999999998</v>
      </c>
      <c r="AD59" s="3">
        <v>9.5000000000000001E-2</v>
      </c>
      <c r="AE59" s="3">
        <v>7.4999999999999997E-2</v>
      </c>
      <c r="AF59" s="3">
        <v>0.02</v>
      </c>
      <c r="AG59" s="3">
        <v>8.4000000000000005E-2</v>
      </c>
      <c r="AH59" s="3">
        <v>0.24299999999999999</v>
      </c>
      <c r="AI59" s="3">
        <v>0.28699999999999998</v>
      </c>
      <c r="AJ59" s="3">
        <v>2.883</v>
      </c>
      <c r="AK59" s="3">
        <v>8.7999999999999995E-2</v>
      </c>
      <c r="AL59" s="3">
        <v>5.8999999999999997E-2</v>
      </c>
      <c r="AM59" s="3">
        <v>0.55800000000000005</v>
      </c>
      <c r="AN59" s="3">
        <v>0.122</v>
      </c>
    </row>
    <row r="60" spans="1:40" ht="30" x14ac:dyDescent="0.2">
      <c r="A60" s="3" t="s">
        <v>67</v>
      </c>
      <c r="B60" s="3" t="s">
        <v>57</v>
      </c>
      <c r="C60" s="3" t="s">
        <v>38</v>
      </c>
      <c r="D60" s="3">
        <v>4</v>
      </c>
      <c r="E60" s="4" t="str">
        <f>TEXT(O60,"0.000")&amp;"
("&amp;TEXT(AA60,"0.000")&amp;")"</f>
        <v>0.484
(0.412)</v>
      </c>
      <c r="F60" s="4" t="str">
        <f>TEXT(P60,"0.000")&amp;"
("&amp;TEXT(AB60,"0.000")&amp;")"</f>
        <v>0.525
(0.358)</v>
      </c>
      <c r="G60" s="5">
        <f>SQRT(Q60)</f>
        <v>0.63482280992415518</v>
      </c>
      <c r="H60" s="5">
        <f>+V60</f>
        <v>0.378</v>
      </c>
      <c r="I60" s="5">
        <f>+W60</f>
        <v>0.87</v>
      </c>
      <c r="J60" s="5">
        <f>+X60</f>
        <v>3.0390000000000001</v>
      </c>
      <c r="K60" s="4" t="str">
        <f>TEXT(R60,"0.000")&amp;"
("&amp;TEXT(AD60,"0.000")&amp;")"</f>
        <v>0.109
(0.092)</v>
      </c>
      <c r="L60" s="4" t="str">
        <f>TEXT(S60,"0.000")&amp;"
("&amp;TEXT(AE60,"0.000")&amp;")"</f>
        <v>0.118
(0.080)</v>
      </c>
      <c r="M60" s="3"/>
      <c r="N60" s="3"/>
      <c r="O60" s="3">
        <v>0.48399999999999999</v>
      </c>
      <c r="P60" s="3">
        <v>0.52500000000000002</v>
      </c>
      <c r="Q60" s="3">
        <v>0.40300000000000002</v>
      </c>
      <c r="R60" s="3">
        <v>0.109</v>
      </c>
      <c r="S60" s="3">
        <v>0.11799999999999999</v>
      </c>
      <c r="T60" s="3">
        <v>0.02</v>
      </c>
      <c r="U60" s="3">
        <v>8.4000000000000005E-2</v>
      </c>
      <c r="V60" s="3">
        <v>0.378</v>
      </c>
      <c r="W60" s="3">
        <v>0.87</v>
      </c>
      <c r="X60" s="3">
        <v>3.0390000000000001</v>
      </c>
      <c r="Y60" s="3">
        <v>0.82099999999999995</v>
      </c>
      <c r="Z60" s="3">
        <v>0.78100000000000003</v>
      </c>
      <c r="AA60" s="3">
        <v>0.41199999999999998</v>
      </c>
      <c r="AB60" s="3">
        <v>0.35799999999999998</v>
      </c>
      <c r="AC60" s="3">
        <v>0.49099999999999999</v>
      </c>
      <c r="AD60" s="3">
        <v>9.1999999999999998E-2</v>
      </c>
      <c r="AE60" s="3">
        <v>0.08</v>
      </c>
      <c r="AF60" s="3">
        <v>2.5000000000000001E-2</v>
      </c>
      <c r="AG60" s="3">
        <v>9.9000000000000005E-2</v>
      </c>
      <c r="AH60" s="3">
        <v>0.26400000000000001</v>
      </c>
      <c r="AI60" s="3">
        <v>0.33700000000000002</v>
      </c>
      <c r="AJ60" s="3">
        <v>3.875</v>
      </c>
      <c r="AK60" s="3">
        <v>0.09</v>
      </c>
      <c r="AL60" s="3">
        <v>0.06</v>
      </c>
      <c r="AM60" s="3">
        <v>0.63500000000000001</v>
      </c>
      <c r="AN60" s="3">
        <v>0.14299999999999999</v>
      </c>
    </row>
    <row r="61" spans="1:40" ht="30" x14ac:dyDescent="0.2">
      <c r="A61" s="3" t="s">
        <v>67</v>
      </c>
      <c r="B61" s="3" t="s">
        <v>57</v>
      </c>
      <c r="C61" s="3" t="s">
        <v>39</v>
      </c>
      <c r="D61" s="3">
        <v>4</v>
      </c>
      <c r="E61" s="4" t="str">
        <f>TEXT(O61,"0.000")&amp;"
("&amp;TEXT(AA61,"0.000")&amp;")"</f>
        <v>0.390
(0.417)</v>
      </c>
      <c r="F61" s="4" t="str">
        <f>TEXT(P61,"0.000")&amp;"
("&amp;TEXT(AB61,"0.000")&amp;")"</f>
        <v>0.457
(0.342)</v>
      </c>
      <c r="G61" s="5">
        <f>SQRT(Q61)</f>
        <v>0.57008771254956903</v>
      </c>
      <c r="H61" s="5">
        <f>+V61</f>
        <v>0.33400000000000002</v>
      </c>
      <c r="I61" s="5">
        <f>+W61</f>
        <v>0.91</v>
      </c>
      <c r="J61" s="5">
        <f>+X61</f>
        <v>2.7930000000000001</v>
      </c>
      <c r="K61" s="4" t="str">
        <f>TEXT(R61,"0.000")&amp;"
("&amp;TEXT(AD61,"0.000")&amp;")"</f>
        <v>0.088
(0.093)</v>
      </c>
      <c r="L61" s="4" t="str">
        <f>TEXT(S61,"0.000")&amp;"
("&amp;TEXT(AE61,"0.000")&amp;")"</f>
        <v>0.102
(0.077)</v>
      </c>
      <c r="M61" s="3"/>
      <c r="N61" s="3"/>
      <c r="O61" s="3">
        <v>0.39</v>
      </c>
      <c r="P61" s="3">
        <v>0.45700000000000002</v>
      </c>
      <c r="Q61" s="3">
        <v>0.32500000000000001</v>
      </c>
      <c r="R61" s="3">
        <v>8.7999999999999995E-2</v>
      </c>
      <c r="S61" s="3">
        <v>0.10199999999999999</v>
      </c>
      <c r="T61" s="3">
        <v>1.6E-2</v>
      </c>
      <c r="U61" s="3">
        <v>6.8000000000000005E-2</v>
      </c>
      <c r="V61" s="3">
        <v>0.33400000000000002</v>
      </c>
      <c r="W61" s="3">
        <v>0.91</v>
      </c>
      <c r="X61" s="3">
        <v>2.7930000000000001</v>
      </c>
      <c r="Y61" s="3">
        <v>0.82499999999999996</v>
      </c>
      <c r="Z61" s="3">
        <v>0.78100000000000003</v>
      </c>
      <c r="AA61" s="3">
        <v>0.41699999999999998</v>
      </c>
      <c r="AB61" s="3">
        <v>0.34200000000000003</v>
      </c>
      <c r="AC61" s="3">
        <v>0.46700000000000003</v>
      </c>
      <c r="AD61" s="3">
        <v>9.2999999999999999E-2</v>
      </c>
      <c r="AE61" s="3">
        <v>7.6999999999999999E-2</v>
      </c>
      <c r="AF61" s="3">
        <v>2.4E-2</v>
      </c>
      <c r="AG61" s="3">
        <v>9.6000000000000002E-2</v>
      </c>
      <c r="AH61" s="3">
        <v>0.25800000000000001</v>
      </c>
      <c r="AI61" s="3">
        <v>0.28699999999999998</v>
      </c>
      <c r="AJ61" s="3">
        <v>4.1669999999999998</v>
      </c>
      <c r="AK61" s="3">
        <v>9.2999999999999999E-2</v>
      </c>
      <c r="AL61" s="3">
        <v>5.8000000000000003E-2</v>
      </c>
      <c r="AM61" s="3">
        <v>0.56999999999999995</v>
      </c>
      <c r="AN61" s="3">
        <v>0.127</v>
      </c>
    </row>
    <row r="62" spans="1:40" ht="30" x14ac:dyDescent="0.2">
      <c r="A62" s="3" t="s">
        <v>67</v>
      </c>
      <c r="B62" s="3" t="s">
        <v>62</v>
      </c>
      <c r="C62" s="3" t="s">
        <v>32</v>
      </c>
      <c r="D62" s="3">
        <v>0</v>
      </c>
      <c r="E62" s="4" t="str">
        <f>TEXT(O62,"0.000")&amp;"
("&amp;TEXT(AA62,"0.000")&amp;")"</f>
        <v>0.009
(0.121)</v>
      </c>
      <c r="F62" s="4" t="str">
        <f>TEXT(P62,"0.000")&amp;"
("&amp;TEXT(AB62,"0.000")&amp;")"</f>
        <v>0.095
(0.075)</v>
      </c>
      <c r="G62" s="5">
        <f>SQRT(Q62)</f>
        <v>0.1224744871391589</v>
      </c>
      <c r="H62" s="5">
        <f>+V62</f>
        <v>6.8000000000000005E-2</v>
      </c>
      <c r="I62" s="5">
        <f>+W62</f>
        <v>0.93</v>
      </c>
      <c r="J62" s="5">
        <f>+X62</f>
        <v>0.55900000000000005</v>
      </c>
      <c r="K62" s="4" t="str">
        <f>TEXT(R62,"0.000")&amp;"
("&amp;TEXT(AD62,"0.000")&amp;")"</f>
        <v>0.012
(0.130)</v>
      </c>
      <c r="L62" s="4" t="str">
        <f>TEXT(S62,"0.000")&amp;"
("&amp;TEXT(AE62,"0.000")&amp;")"</f>
        <v>0.102
(0.080)</v>
      </c>
      <c r="M62" s="3"/>
      <c r="N62" s="3"/>
      <c r="O62" s="3">
        <v>8.9999999999999993E-3</v>
      </c>
      <c r="P62" s="3">
        <v>9.5000000000000001E-2</v>
      </c>
      <c r="Q62" s="3">
        <v>1.4999999999999999E-2</v>
      </c>
      <c r="R62" s="3">
        <v>1.2E-2</v>
      </c>
      <c r="S62" s="3">
        <v>0.10199999999999999</v>
      </c>
      <c r="T62" s="3">
        <v>1.7000000000000001E-2</v>
      </c>
      <c r="U62" s="3">
        <v>1.4999999999999999E-2</v>
      </c>
      <c r="V62" s="3">
        <v>6.8000000000000005E-2</v>
      </c>
      <c r="W62" s="3">
        <v>0.93</v>
      </c>
      <c r="X62" s="3">
        <v>0.55900000000000005</v>
      </c>
      <c r="Y62" s="3">
        <v>0.59699999999999998</v>
      </c>
      <c r="Z62" s="3">
        <v>0.50900000000000001</v>
      </c>
      <c r="AA62" s="3">
        <v>0.121</v>
      </c>
      <c r="AB62" s="3">
        <v>7.4999999999999997E-2</v>
      </c>
      <c r="AC62" s="3">
        <v>2.1000000000000001E-2</v>
      </c>
      <c r="AD62" s="3">
        <v>0.13</v>
      </c>
      <c r="AE62" s="3">
        <v>0.08</v>
      </c>
      <c r="AF62" s="3">
        <v>2.5000000000000001E-2</v>
      </c>
      <c r="AG62" s="3">
        <v>2.1000000000000001E-2</v>
      </c>
      <c r="AH62" s="3">
        <v>5.0999999999999997E-2</v>
      </c>
      <c r="AI62" s="3">
        <v>0.25600000000000001</v>
      </c>
      <c r="AJ62" s="3">
        <v>0.47699999999999998</v>
      </c>
      <c r="AK62" s="3">
        <v>0.11</v>
      </c>
      <c r="AL62" s="3">
        <v>8.3000000000000004E-2</v>
      </c>
      <c r="AM62" s="3">
        <v>0.121</v>
      </c>
      <c r="AN62" s="3">
        <v>0.13</v>
      </c>
    </row>
    <row r="63" spans="1:40" ht="30" x14ac:dyDescent="0.2">
      <c r="A63" s="3" t="s">
        <v>67</v>
      </c>
      <c r="B63" s="3" t="s">
        <v>62</v>
      </c>
      <c r="C63" s="3" t="s">
        <v>35</v>
      </c>
      <c r="D63" s="3">
        <v>0</v>
      </c>
      <c r="E63" s="4" t="str">
        <f>TEXT(O63,"0.000")&amp;"
("&amp;TEXT(AA63,"0.000")&amp;")"</f>
        <v>−0.052
(0.131)</v>
      </c>
      <c r="F63" s="4" t="str">
        <f>TEXT(P63,"0.000")&amp;"
("&amp;TEXT(AB63,"0.000")&amp;")"</f>
        <v>0.113
(0.084)</v>
      </c>
      <c r="G63" s="5">
        <f>SQRT(Q63)</f>
        <v>0.1414213562373095</v>
      </c>
      <c r="H63" s="5">
        <f>+V63</f>
        <v>8.1000000000000003E-2</v>
      </c>
      <c r="I63" s="5">
        <f>+W63</f>
        <v>0.91500000000000004</v>
      </c>
      <c r="J63" s="5">
        <f>+X63</f>
        <v>0.70199999999999996</v>
      </c>
      <c r="K63" s="4" t="str">
        <f>TEXT(R63,"0.000")&amp;"
("&amp;TEXT(AD63,"0.000")&amp;")"</f>
        <v>−0.047
(0.129)</v>
      </c>
      <c r="L63" s="4" t="str">
        <f>TEXT(S63,"0.000")&amp;"
("&amp;TEXT(AE63,"0.000")&amp;")"</f>
        <v>0.112
(0.079)</v>
      </c>
      <c r="M63" s="3"/>
      <c r="N63" s="3"/>
      <c r="O63" s="3" t="s">
        <v>58</v>
      </c>
      <c r="P63" s="3">
        <v>0.113</v>
      </c>
      <c r="Q63" s="3">
        <v>0.02</v>
      </c>
      <c r="R63" s="3" t="s">
        <v>82</v>
      </c>
      <c r="S63" s="3">
        <v>0.112</v>
      </c>
      <c r="T63" s="3">
        <v>1.9E-2</v>
      </c>
      <c r="U63" s="3">
        <v>0.02</v>
      </c>
      <c r="V63" s="3">
        <v>8.1000000000000003E-2</v>
      </c>
      <c r="W63" s="3">
        <v>0.91500000000000004</v>
      </c>
      <c r="X63" s="3">
        <v>0.70199999999999996</v>
      </c>
      <c r="Y63" s="3">
        <v>0.59099999999999997</v>
      </c>
      <c r="Z63" s="3">
        <v>0.51100000000000001</v>
      </c>
      <c r="AA63" s="3">
        <v>0.13100000000000001</v>
      </c>
      <c r="AB63" s="3">
        <v>8.4000000000000005E-2</v>
      </c>
      <c r="AC63" s="3">
        <v>2.8000000000000001E-2</v>
      </c>
      <c r="AD63" s="3">
        <v>0.129</v>
      </c>
      <c r="AE63" s="3">
        <v>7.9000000000000001E-2</v>
      </c>
      <c r="AF63" s="3">
        <v>2.4E-2</v>
      </c>
      <c r="AG63" s="3">
        <v>2.8000000000000001E-2</v>
      </c>
      <c r="AH63" s="3">
        <v>0.06</v>
      </c>
      <c r="AI63" s="3">
        <v>0.28000000000000003</v>
      </c>
      <c r="AJ63" s="3">
        <v>0.86699999999999999</v>
      </c>
      <c r="AK63" s="3">
        <v>0.113</v>
      </c>
      <c r="AL63" s="3">
        <v>7.6999999999999999E-2</v>
      </c>
      <c r="AM63" s="3">
        <v>0.14099999999999999</v>
      </c>
      <c r="AN63" s="3">
        <v>0.13700000000000001</v>
      </c>
    </row>
    <row r="64" spans="1:40" ht="30" x14ac:dyDescent="0.2">
      <c r="A64" s="3" t="s">
        <v>67</v>
      </c>
      <c r="B64" s="3" t="s">
        <v>62</v>
      </c>
      <c r="C64" s="3" t="s">
        <v>36</v>
      </c>
      <c r="D64" s="3">
        <v>0</v>
      </c>
      <c r="E64" s="4" t="str">
        <f>TEXT(O64,"0.000")&amp;"
("&amp;TEXT(AA64,"0.000")&amp;")"</f>
        <v>−0.044
(0.129)</v>
      </c>
      <c r="F64" s="4" t="str">
        <f>TEXT(P64,"0.000")&amp;"
("&amp;TEXT(AB64,"0.000")&amp;")"</f>
        <v>0.110
(0.081)</v>
      </c>
      <c r="G64" s="5">
        <f>SQRT(Q64)</f>
        <v>0.13784048752090222</v>
      </c>
      <c r="H64" s="5">
        <f>+V64</f>
        <v>7.6999999999999999E-2</v>
      </c>
      <c r="I64" s="5">
        <f>+W64</f>
        <v>0.90500000000000003</v>
      </c>
      <c r="J64" s="5">
        <f>+X64</f>
        <v>0.68300000000000005</v>
      </c>
      <c r="K64" s="4" t="str">
        <f>TEXT(R64,"0.000")&amp;"
("&amp;TEXT(AD64,"0.000")&amp;")"</f>
        <v>−0.040
(0.128)</v>
      </c>
      <c r="L64" s="4" t="str">
        <f>TEXT(S64,"0.000")&amp;"
("&amp;TEXT(AE64,"0.000")&amp;")"</f>
        <v>0.109
(0.076)</v>
      </c>
      <c r="M64" s="3"/>
      <c r="N64" s="3"/>
      <c r="O64" s="3" t="s">
        <v>83</v>
      </c>
      <c r="P64" s="3">
        <v>0.11</v>
      </c>
      <c r="Q64" s="3">
        <v>1.9E-2</v>
      </c>
      <c r="R64" s="3" t="s">
        <v>84</v>
      </c>
      <c r="S64" s="3">
        <v>0.109</v>
      </c>
      <c r="T64" s="3">
        <v>1.7999999999999999E-2</v>
      </c>
      <c r="U64" s="3">
        <v>1.9E-2</v>
      </c>
      <c r="V64" s="3">
        <v>7.6999999999999999E-2</v>
      </c>
      <c r="W64" s="3">
        <v>0.90500000000000003</v>
      </c>
      <c r="X64" s="3">
        <v>0.68300000000000005</v>
      </c>
      <c r="Y64" s="3">
        <v>0.59299999999999997</v>
      </c>
      <c r="Z64" s="3">
        <v>0.51400000000000001</v>
      </c>
      <c r="AA64" s="3">
        <v>0.129</v>
      </c>
      <c r="AB64" s="3">
        <v>8.1000000000000003E-2</v>
      </c>
      <c r="AC64" s="3">
        <v>2.7E-2</v>
      </c>
      <c r="AD64" s="3">
        <v>0.128</v>
      </c>
      <c r="AE64" s="3">
        <v>7.5999999999999998E-2</v>
      </c>
      <c r="AF64" s="3">
        <v>2.3E-2</v>
      </c>
      <c r="AG64" s="3">
        <v>2.5999999999999999E-2</v>
      </c>
      <c r="AH64" s="3">
        <v>5.8999999999999997E-2</v>
      </c>
      <c r="AI64" s="3">
        <v>0.29399999999999998</v>
      </c>
      <c r="AJ64" s="3">
        <v>0.88200000000000001</v>
      </c>
      <c r="AK64" s="3">
        <v>0.107</v>
      </c>
      <c r="AL64" s="3">
        <v>7.6999999999999999E-2</v>
      </c>
      <c r="AM64" s="3">
        <v>0.13600000000000001</v>
      </c>
      <c r="AN64" s="3">
        <v>0.13300000000000001</v>
      </c>
    </row>
    <row r="65" spans="1:40" ht="30" x14ac:dyDescent="0.2">
      <c r="A65" s="3" t="s">
        <v>67</v>
      </c>
      <c r="B65" s="3" t="s">
        <v>62</v>
      </c>
      <c r="C65" s="3" t="s">
        <v>37</v>
      </c>
      <c r="D65" s="3">
        <v>0</v>
      </c>
      <c r="E65" s="4" t="str">
        <f>TEXT(O65,"0.000")&amp;"
("&amp;TEXT(AA65,"0.000")&amp;")"</f>
        <v>−0.009
(0.117)</v>
      </c>
      <c r="F65" s="4" t="str">
        <f>TEXT(P65,"0.000")&amp;"
("&amp;TEXT(AB65,"0.000")&amp;")"</f>
        <v>0.092
(0.072)</v>
      </c>
      <c r="G65" s="5">
        <f>SQRT(Q65)</f>
        <v>0.11832159566199232</v>
      </c>
      <c r="H65" s="5">
        <f>+V65</f>
        <v>6.7000000000000004E-2</v>
      </c>
      <c r="I65" s="5">
        <f>+W65</f>
        <v>0.95499999999999996</v>
      </c>
      <c r="J65" s="5">
        <f>+X65</f>
        <v>0.55000000000000004</v>
      </c>
      <c r="K65" s="4" t="str">
        <f>TEXT(R65,"0.000")&amp;"
("&amp;TEXT(AD65,"0.000")&amp;")"</f>
        <v>−0.008
(0.122)</v>
      </c>
      <c r="L65" s="4" t="str">
        <f>TEXT(S65,"0.000")&amp;"
("&amp;TEXT(AE65,"0.000")&amp;")"</f>
        <v>0.096
(0.076)</v>
      </c>
      <c r="M65" s="3"/>
      <c r="N65" s="3"/>
      <c r="O65" s="3" t="s">
        <v>46</v>
      </c>
      <c r="P65" s="3">
        <v>9.1999999999999998E-2</v>
      </c>
      <c r="Q65" s="3">
        <v>1.4E-2</v>
      </c>
      <c r="R65" s="3" t="s">
        <v>52</v>
      </c>
      <c r="S65" s="3">
        <v>9.6000000000000002E-2</v>
      </c>
      <c r="T65" s="3">
        <v>1.4999999999999999E-2</v>
      </c>
      <c r="U65" s="3">
        <v>1.4E-2</v>
      </c>
      <c r="V65" s="3">
        <v>6.7000000000000004E-2</v>
      </c>
      <c r="W65" s="3">
        <v>0.95499999999999996</v>
      </c>
      <c r="X65" s="3">
        <v>0.55000000000000004</v>
      </c>
      <c r="Y65" s="3">
        <v>0.62</v>
      </c>
      <c r="Z65" s="3">
        <v>0.54100000000000004</v>
      </c>
      <c r="AA65" s="3">
        <v>0.11700000000000001</v>
      </c>
      <c r="AB65" s="3">
        <v>7.1999999999999995E-2</v>
      </c>
      <c r="AC65" s="3">
        <v>1.9E-2</v>
      </c>
      <c r="AD65" s="3">
        <v>0.122</v>
      </c>
      <c r="AE65" s="3">
        <v>7.5999999999999998E-2</v>
      </c>
      <c r="AF65" s="3">
        <v>2.1000000000000001E-2</v>
      </c>
      <c r="AG65" s="3">
        <v>1.9E-2</v>
      </c>
      <c r="AH65" s="3">
        <v>4.8000000000000001E-2</v>
      </c>
      <c r="AI65" s="3">
        <v>0.20799999999999999</v>
      </c>
      <c r="AJ65" s="3">
        <v>0.48299999999999998</v>
      </c>
      <c r="AK65" s="3">
        <v>0.1</v>
      </c>
      <c r="AL65" s="3">
        <v>7.8E-2</v>
      </c>
      <c r="AM65" s="3">
        <v>0.11700000000000001</v>
      </c>
      <c r="AN65" s="3">
        <v>0.122</v>
      </c>
    </row>
    <row r="66" spans="1:40" ht="30" x14ac:dyDescent="0.2">
      <c r="A66" s="3" t="s">
        <v>67</v>
      </c>
      <c r="B66" s="3" t="s">
        <v>62</v>
      </c>
      <c r="C66" s="3" t="s">
        <v>38</v>
      </c>
      <c r="D66" s="3">
        <v>0</v>
      </c>
      <c r="E66" s="4" t="str">
        <f>TEXT(O66,"0.000")&amp;"
("&amp;TEXT(AA66,"0.000")&amp;")"</f>
        <v>0.002
(0.115)</v>
      </c>
      <c r="F66" s="4" t="str">
        <f>TEXT(P66,"0.000")&amp;"
("&amp;TEXT(AB66,"0.000")&amp;")"</f>
        <v>0.089
(0.072)</v>
      </c>
      <c r="G66" s="5">
        <f>SQRT(Q66)</f>
        <v>0.11401754250991379</v>
      </c>
      <c r="H66" s="5">
        <f>+V66</f>
        <v>6.5000000000000002E-2</v>
      </c>
      <c r="I66" s="5">
        <f>+W66</f>
        <v>0.95499999999999996</v>
      </c>
      <c r="J66" s="5">
        <f>+X66</f>
        <v>0.54100000000000004</v>
      </c>
      <c r="K66" s="4" t="str">
        <f>TEXT(R66,"0.000")&amp;"
("&amp;TEXT(AD66,"0.000")&amp;")"</f>
        <v>0.004
(0.122)</v>
      </c>
      <c r="L66" s="4" t="str">
        <f>TEXT(S66,"0.000")&amp;"
("&amp;TEXT(AE66,"0.000")&amp;")"</f>
        <v>0.094
(0.077)</v>
      </c>
      <c r="M66" s="3"/>
      <c r="N66" s="3"/>
      <c r="O66" s="3">
        <v>2E-3</v>
      </c>
      <c r="P66" s="3">
        <v>8.8999999999999996E-2</v>
      </c>
      <c r="Q66" s="3">
        <v>1.2999999999999999E-2</v>
      </c>
      <c r="R66" s="3">
        <v>4.0000000000000001E-3</v>
      </c>
      <c r="S66" s="3">
        <v>9.4E-2</v>
      </c>
      <c r="T66" s="3">
        <v>1.4999999999999999E-2</v>
      </c>
      <c r="U66" s="3">
        <v>1.4E-2</v>
      </c>
      <c r="V66" s="3">
        <v>6.5000000000000002E-2</v>
      </c>
      <c r="W66" s="3">
        <v>0.95499999999999996</v>
      </c>
      <c r="X66" s="3">
        <v>0.54100000000000004</v>
      </c>
      <c r="Y66" s="3">
        <v>0.625</v>
      </c>
      <c r="Z66" s="3">
        <v>0.54300000000000004</v>
      </c>
      <c r="AA66" s="3">
        <v>0.115</v>
      </c>
      <c r="AB66" s="3">
        <v>7.1999999999999995E-2</v>
      </c>
      <c r="AC66" s="3">
        <v>1.9E-2</v>
      </c>
      <c r="AD66" s="3">
        <v>0.122</v>
      </c>
      <c r="AE66" s="3">
        <v>7.6999999999999999E-2</v>
      </c>
      <c r="AF66" s="3">
        <v>2.1000000000000001E-2</v>
      </c>
      <c r="AG66" s="3">
        <v>1.9E-2</v>
      </c>
      <c r="AH66" s="3">
        <v>4.4999999999999998E-2</v>
      </c>
      <c r="AI66" s="3">
        <v>0.20799999999999999</v>
      </c>
      <c r="AJ66" s="3">
        <v>0.432</v>
      </c>
      <c r="AK66" s="3">
        <v>9.8000000000000004E-2</v>
      </c>
      <c r="AL66" s="3">
        <v>7.5999999999999998E-2</v>
      </c>
      <c r="AM66" s="3">
        <v>0.115</v>
      </c>
      <c r="AN66" s="3">
        <v>0.121</v>
      </c>
    </row>
    <row r="67" spans="1:40" ht="30" x14ac:dyDescent="0.2">
      <c r="A67" s="3" t="s">
        <v>67</v>
      </c>
      <c r="B67" s="3" t="s">
        <v>62</v>
      </c>
      <c r="C67" s="3" t="s">
        <v>39</v>
      </c>
      <c r="D67" s="3">
        <v>0</v>
      </c>
      <c r="E67" s="4" t="str">
        <f>TEXT(O67,"0.000")&amp;"
("&amp;TEXT(AA67,"0.000")&amp;")"</f>
        <v>−0.059
(0.120)</v>
      </c>
      <c r="F67" s="4" t="str">
        <f>TEXT(P67,"0.000")&amp;"
("&amp;TEXT(AB67,"0.000")&amp;")"</f>
        <v>0.109
(0.077)</v>
      </c>
      <c r="G67" s="5">
        <f>SQRT(Q67)</f>
        <v>0.13416407864998739</v>
      </c>
      <c r="H67" s="5">
        <f>+V67</f>
        <v>7.4999999999999997E-2</v>
      </c>
      <c r="I67" s="5">
        <f>+W67</f>
        <v>0.92500000000000004</v>
      </c>
      <c r="J67" s="5">
        <f>+X67</f>
        <v>0.63200000000000001</v>
      </c>
      <c r="K67" s="4" t="str">
        <f>TEXT(R67,"0.000")&amp;"
("&amp;TEXT(AD67,"0.000")&amp;")"</f>
        <v>−0.056
(0.118)</v>
      </c>
      <c r="L67" s="4" t="str">
        <f>TEXT(S67,"0.000")&amp;"
("&amp;TEXT(AE67,"0.000")&amp;")"</f>
        <v>0.108
(0.074)</v>
      </c>
      <c r="M67" s="3"/>
      <c r="N67" s="3"/>
      <c r="O67" s="3" t="s">
        <v>66</v>
      </c>
      <c r="P67" s="3">
        <v>0.109</v>
      </c>
      <c r="Q67" s="3">
        <v>1.7999999999999999E-2</v>
      </c>
      <c r="R67" s="3" t="s">
        <v>74</v>
      </c>
      <c r="S67" s="3">
        <v>0.108</v>
      </c>
      <c r="T67" s="3">
        <v>1.7000000000000001E-2</v>
      </c>
      <c r="U67" s="3">
        <v>1.7999999999999999E-2</v>
      </c>
      <c r="V67" s="3">
        <v>7.4999999999999997E-2</v>
      </c>
      <c r="W67" s="3">
        <v>0.92500000000000004</v>
      </c>
      <c r="X67" s="3">
        <v>0.63200000000000001</v>
      </c>
      <c r="Y67" s="3">
        <v>0.61</v>
      </c>
      <c r="Z67" s="3">
        <v>0.53300000000000003</v>
      </c>
      <c r="AA67" s="3">
        <v>0.12</v>
      </c>
      <c r="AB67" s="3">
        <v>7.6999999999999999E-2</v>
      </c>
      <c r="AC67" s="3">
        <v>2.3E-2</v>
      </c>
      <c r="AD67" s="3">
        <v>0.11799999999999999</v>
      </c>
      <c r="AE67" s="3">
        <v>7.3999999999999996E-2</v>
      </c>
      <c r="AF67" s="3">
        <v>2.1000000000000001E-2</v>
      </c>
      <c r="AG67" s="3">
        <v>2.4E-2</v>
      </c>
      <c r="AH67" s="3">
        <v>5.0999999999999997E-2</v>
      </c>
      <c r="AI67" s="3">
        <v>0.26400000000000001</v>
      </c>
      <c r="AJ67" s="3">
        <v>0.58899999999999997</v>
      </c>
      <c r="AK67" s="3">
        <v>0.1</v>
      </c>
      <c r="AL67" s="3">
        <v>7.3999999999999996E-2</v>
      </c>
      <c r="AM67" s="3">
        <v>0.13300000000000001</v>
      </c>
      <c r="AN67" s="3">
        <v>0.13100000000000001</v>
      </c>
    </row>
    <row r="68" spans="1:40" ht="30" x14ac:dyDescent="0.2">
      <c r="A68" s="3" t="s">
        <v>67</v>
      </c>
      <c r="B68" s="3" t="s">
        <v>62</v>
      </c>
      <c r="C68" s="3" t="s">
        <v>32</v>
      </c>
      <c r="D68" s="3">
        <v>4</v>
      </c>
      <c r="E68" s="4" t="str">
        <f>TEXT(O68,"0.000")&amp;"
("&amp;TEXT(AA68,"0.000")&amp;")"</f>
        <v>0.110
(0.559)</v>
      </c>
      <c r="F68" s="4" t="str">
        <f>TEXT(P68,"0.000")&amp;"
("&amp;TEXT(AB68,"0.000")&amp;")"</f>
        <v>0.455
(0.342)</v>
      </c>
      <c r="G68" s="5">
        <f>SQRT(Q68)</f>
        <v>0.56833088953531286</v>
      </c>
      <c r="H68" s="5">
        <f>+V68</f>
        <v>0.32800000000000001</v>
      </c>
      <c r="I68" s="5">
        <f>+W68</f>
        <v>0.86499999999999999</v>
      </c>
      <c r="J68" s="5">
        <f>+X68</f>
        <v>3.1930000000000001</v>
      </c>
      <c r="K68" s="4" t="str">
        <f>TEXT(R68,"0.000")&amp;"
("&amp;TEXT(AD68,"0.000")&amp;")"</f>
        <v>0.028
(0.119)</v>
      </c>
      <c r="L68" s="4" t="str">
        <f>TEXT(S68,"0.000")&amp;"
("&amp;TEXT(AE68,"0.000")&amp;")"</f>
        <v>0.097
(0.075)</v>
      </c>
      <c r="M68" s="3"/>
      <c r="N68" s="3"/>
      <c r="O68" s="3">
        <v>0.11</v>
      </c>
      <c r="P68" s="3">
        <v>0.45500000000000002</v>
      </c>
      <c r="Q68" s="3">
        <v>0.32300000000000001</v>
      </c>
      <c r="R68" s="3">
        <v>2.8000000000000001E-2</v>
      </c>
      <c r="S68" s="3">
        <v>9.7000000000000003E-2</v>
      </c>
      <c r="T68" s="3">
        <v>1.4999999999999999E-2</v>
      </c>
      <c r="U68" s="3">
        <v>6.7000000000000004E-2</v>
      </c>
      <c r="V68" s="3">
        <v>0.32800000000000001</v>
      </c>
      <c r="W68" s="3">
        <v>0.86499999999999999</v>
      </c>
      <c r="X68" s="3">
        <v>3.1930000000000001</v>
      </c>
      <c r="Y68" s="3">
        <v>0.80800000000000005</v>
      </c>
      <c r="Z68" s="3">
        <v>0.73599999999999999</v>
      </c>
      <c r="AA68" s="3">
        <v>0.55900000000000005</v>
      </c>
      <c r="AB68" s="3">
        <v>0.34200000000000003</v>
      </c>
      <c r="AC68" s="3">
        <v>0.44600000000000001</v>
      </c>
      <c r="AD68" s="3">
        <v>0.11899999999999999</v>
      </c>
      <c r="AE68" s="3">
        <v>7.4999999999999997E-2</v>
      </c>
      <c r="AF68" s="3">
        <v>2.1999999999999999E-2</v>
      </c>
      <c r="AG68" s="3">
        <v>9.0999999999999998E-2</v>
      </c>
      <c r="AH68" s="3">
        <v>0.26</v>
      </c>
      <c r="AI68" s="3">
        <v>0.34300000000000003</v>
      </c>
      <c r="AJ68" s="3">
        <v>4.4749999999999996</v>
      </c>
      <c r="AK68" s="3">
        <v>9.4E-2</v>
      </c>
      <c r="AL68" s="3">
        <v>7.2999999999999995E-2</v>
      </c>
      <c r="AM68" s="3">
        <v>0.56899999999999995</v>
      </c>
      <c r="AN68" s="3">
        <v>0.123</v>
      </c>
    </row>
    <row r="69" spans="1:40" ht="30" x14ac:dyDescent="0.2">
      <c r="A69" s="3" t="s">
        <v>67</v>
      </c>
      <c r="B69" s="3" t="s">
        <v>62</v>
      </c>
      <c r="C69" s="3" t="s">
        <v>35</v>
      </c>
      <c r="D69" s="3">
        <v>4</v>
      </c>
      <c r="E69" s="4" t="str">
        <f>TEXT(O69,"0.000")&amp;"
("&amp;TEXT(AA69,"0.000")&amp;")"</f>
        <v>−0.342
(0.559)</v>
      </c>
      <c r="F69" s="4" t="str">
        <f>TEXT(P69,"0.000")&amp;"
("&amp;TEXT(AB69,"0.000")&amp;")"</f>
        <v>0.521
(0.396)</v>
      </c>
      <c r="G69" s="5">
        <f>SQRT(Q69)</f>
        <v>0.65421708935184508</v>
      </c>
      <c r="H69" s="5">
        <f>+V69</f>
        <v>0.38800000000000001</v>
      </c>
      <c r="I69" s="5">
        <f>+W69</f>
        <v>0.82</v>
      </c>
      <c r="J69" s="5">
        <f>+X69</f>
        <v>4.0140000000000002</v>
      </c>
      <c r="K69" s="4" t="str">
        <f>TEXT(R69,"0.000")&amp;"
("&amp;TEXT(AD69,"0.000")&amp;")"</f>
        <v>−0.058
(0.106)</v>
      </c>
      <c r="L69" s="4" t="str">
        <f>TEXT(S69,"0.000")&amp;"
("&amp;TEXT(AE69,"0.000")&amp;")"</f>
        <v>0.099
(0.070)</v>
      </c>
      <c r="M69" s="3"/>
      <c r="N69" s="3"/>
      <c r="O69" s="3" t="s">
        <v>85</v>
      </c>
      <c r="P69" s="3">
        <v>0.52100000000000002</v>
      </c>
      <c r="Q69" s="3">
        <v>0.42799999999999999</v>
      </c>
      <c r="R69" s="3" t="s">
        <v>47</v>
      </c>
      <c r="S69" s="3">
        <v>9.9000000000000005E-2</v>
      </c>
      <c r="T69" s="3">
        <v>1.4999999999999999E-2</v>
      </c>
      <c r="U69" s="3">
        <v>8.2000000000000003E-2</v>
      </c>
      <c r="V69" s="3">
        <v>0.38800000000000001</v>
      </c>
      <c r="W69" s="3">
        <v>0.82</v>
      </c>
      <c r="X69" s="3">
        <v>4.0140000000000002</v>
      </c>
      <c r="Y69" s="3">
        <v>0.82599999999999996</v>
      </c>
      <c r="Z69" s="3">
        <v>0.76900000000000002</v>
      </c>
      <c r="AA69" s="3">
        <v>0.55900000000000005</v>
      </c>
      <c r="AB69" s="3">
        <v>0.39600000000000002</v>
      </c>
      <c r="AC69" s="3">
        <v>0.61499999999999999</v>
      </c>
      <c r="AD69" s="3">
        <v>0.106</v>
      </c>
      <c r="AE69" s="3">
        <v>7.0000000000000007E-2</v>
      </c>
      <c r="AF69" s="3">
        <v>1.9E-2</v>
      </c>
      <c r="AG69" s="3">
        <v>0.112</v>
      </c>
      <c r="AH69" s="3">
        <v>0.314</v>
      </c>
      <c r="AI69" s="3">
        <v>0.38500000000000001</v>
      </c>
      <c r="AJ69" s="3">
        <v>6.0229999999999997</v>
      </c>
      <c r="AK69" s="3">
        <v>9.8000000000000004E-2</v>
      </c>
      <c r="AL69" s="3">
        <v>5.8000000000000003E-2</v>
      </c>
      <c r="AM69" s="3">
        <v>0.65400000000000003</v>
      </c>
      <c r="AN69" s="3">
        <v>0.121</v>
      </c>
    </row>
    <row r="70" spans="1:40" ht="30" x14ac:dyDescent="0.2">
      <c r="A70" s="3" t="s">
        <v>67</v>
      </c>
      <c r="B70" s="3" t="s">
        <v>62</v>
      </c>
      <c r="C70" s="3" t="s">
        <v>36</v>
      </c>
      <c r="D70" s="3">
        <v>4</v>
      </c>
      <c r="E70" s="4" t="str">
        <f>TEXT(O70,"0.000")&amp;"
("&amp;TEXT(AA70,"0.000")&amp;")"</f>
        <v>−0.249
(0.587)</v>
      </c>
      <c r="F70" s="4" t="str">
        <f>TEXT(P70,"0.000")&amp;"
("&amp;TEXT(AB70,"0.000")&amp;")"</f>
        <v>0.498
(0.397)</v>
      </c>
      <c r="G70" s="5">
        <f>SQRT(Q70)</f>
        <v>0.63639610306789274</v>
      </c>
      <c r="H70" s="5">
        <f>+V70</f>
        <v>0.36299999999999999</v>
      </c>
      <c r="I70" s="5">
        <f>+W70</f>
        <v>0.8</v>
      </c>
      <c r="J70" s="5">
        <f>+X70</f>
        <v>3.9319999999999999</v>
      </c>
      <c r="K70" s="4" t="str">
        <f>TEXT(R70,"0.000")&amp;"
("&amp;TEXT(AD70,"0.000")&amp;")"</f>
        <v>−0.040
(0.114)</v>
      </c>
      <c r="L70" s="4" t="str">
        <f>TEXT(S70,"0.000")&amp;"
("&amp;TEXT(AE70,"0.000")&amp;")"</f>
        <v>0.096
(0.072)</v>
      </c>
      <c r="M70" s="3"/>
      <c r="N70" s="3"/>
      <c r="O70" s="3" t="s">
        <v>86</v>
      </c>
      <c r="P70" s="3">
        <v>0.498</v>
      </c>
      <c r="Q70" s="3">
        <v>0.40500000000000003</v>
      </c>
      <c r="R70" s="3" t="s">
        <v>84</v>
      </c>
      <c r="S70" s="3">
        <v>9.6000000000000002E-2</v>
      </c>
      <c r="T70" s="3">
        <v>1.4E-2</v>
      </c>
      <c r="U70" s="3">
        <v>7.8E-2</v>
      </c>
      <c r="V70" s="3">
        <v>0.36299999999999999</v>
      </c>
      <c r="W70" s="3">
        <v>0.8</v>
      </c>
      <c r="X70" s="3">
        <v>3.9319999999999999</v>
      </c>
      <c r="Y70" s="3">
        <v>0.82099999999999995</v>
      </c>
      <c r="Z70" s="3">
        <v>0.76400000000000001</v>
      </c>
      <c r="AA70" s="3">
        <v>0.58699999999999997</v>
      </c>
      <c r="AB70" s="3">
        <v>0.39700000000000002</v>
      </c>
      <c r="AC70" s="3">
        <v>0.59399999999999997</v>
      </c>
      <c r="AD70" s="3">
        <v>0.114</v>
      </c>
      <c r="AE70" s="3">
        <v>7.1999999999999995E-2</v>
      </c>
      <c r="AF70" s="3">
        <v>1.9E-2</v>
      </c>
      <c r="AG70" s="3">
        <v>0.107</v>
      </c>
      <c r="AH70" s="3">
        <v>0.31</v>
      </c>
      <c r="AI70" s="3">
        <v>0.40100000000000002</v>
      </c>
      <c r="AJ70" s="3">
        <v>6.0119999999999996</v>
      </c>
      <c r="AK70" s="3">
        <v>0.1</v>
      </c>
      <c r="AL70" s="3">
        <v>5.8999999999999997E-2</v>
      </c>
      <c r="AM70" s="3">
        <v>0.63600000000000001</v>
      </c>
      <c r="AN70" s="3">
        <v>0.12</v>
      </c>
    </row>
    <row r="71" spans="1:40" ht="30" x14ac:dyDescent="0.2">
      <c r="A71" s="3" t="s">
        <v>67</v>
      </c>
      <c r="B71" s="3" t="s">
        <v>62</v>
      </c>
      <c r="C71" s="3" t="s">
        <v>37</v>
      </c>
      <c r="D71" s="3">
        <v>4</v>
      </c>
      <c r="E71" s="4" t="str">
        <f>TEXT(O71,"0.000")&amp;"
("&amp;TEXT(AA71,"0.000")&amp;")"</f>
        <v>0.118
(0.506)</v>
      </c>
      <c r="F71" s="4" t="str">
        <f>TEXT(P71,"0.000")&amp;"
("&amp;TEXT(AB71,"0.000")&amp;")"</f>
        <v>0.416
(0.310)</v>
      </c>
      <c r="G71" s="5">
        <f>SQRT(Q71)</f>
        <v>0.51865209919559763</v>
      </c>
      <c r="H71" s="5">
        <f>+V71</f>
        <v>0.29499999999999998</v>
      </c>
      <c r="I71" s="5">
        <f>+W71</f>
        <v>0.9</v>
      </c>
      <c r="J71" s="5">
        <f>+X71</f>
        <v>2.5310000000000001</v>
      </c>
      <c r="K71" s="4" t="str">
        <f>TEXT(R71,"0.000")&amp;"
("&amp;TEXT(AD71,"0.000")&amp;")"</f>
        <v>0.028
(0.108)</v>
      </c>
      <c r="L71" s="4" t="str">
        <f>TEXT(S71,"0.000")&amp;"
("&amp;TEXT(AE71,"0.000")&amp;")"</f>
        <v>0.089
(0.067)</v>
      </c>
      <c r="M71" s="3"/>
      <c r="N71" s="3"/>
      <c r="O71" s="3">
        <v>0.11799999999999999</v>
      </c>
      <c r="P71" s="3">
        <v>0.41599999999999998</v>
      </c>
      <c r="Q71" s="3">
        <v>0.26900000000000002</v>
      </c>
      <c r="R71" s="3">
        <v>2.8000000000000001E-2</v>
      </c>
      <c r="S71" s="3">
        <v>8.8999999999999996E-2</v>
      </c>
      <c r="T71" s="3">
        <v>1.2E-2</v>
      </c>
      <c r="U71" s="3">
        <v>5.6000000000000001E-2</v>
      </c>
      <c r="V71" s="3">
        <v>0.29499999999999998</v>
      </c>
      <c r="W71" s="3">
        <v>0.9</v>
      </c>
      <c r="X71" s="3">
        <v>2.5310000000000001</v>
      </c>
      <c r="Y71" s="3">
        <v>0.83499999999999996</v>
      </c>
      <c r="Z71" s="3">
        <v>0.78600000000000003</v>
      </c>
      <c r="AA71" s="3">
        <v>0.50600000000000001</v>
      </c>
      <c r="AB71" s="3">
        <v>0.31</v>
      </c>
      <c r="AC71" s="3">
        <v>0.36099999999999999</v>
      </c>
      <c r="AD71" s="3">
        <v>0.108</v>
      </c>
      <c r="AE71" s="3">
        <v>6.7000000000000004E-2</v>
      </c>
      <c r="AF71" s="3">
        <v>1.7000000000000001E-2</v>
      </c>
      <c r="AG71" s="3">
        <v>7.2999999999999995E-2</v>
      </c>
      <c r="AH71" s="3">
        <v>0.217</v>
      </c>
      <c r="AI71" s="3">
        <v>0.30099999999999999</v>
      </c>
      <c r="AJ71" s="3">
        <v>2.5110000000000001</v>
      </c>
      <c r="AK71" s="3">
        <v>8.2000000000000003E-2</v>
      </c>
      <c r="AL71" s="3">
        <v>5.8000000000000003E-2</v>
      </c>
      <c r="AM71" s="3">
        <v>0.51800000000000002</v>
      </c>
      <c r="AN71" s="3">
        <v>0.111</v>
      </c>
    </row>
    <row r="72" spans="1:40" ht="30" x14ac:dyDescent="0.2">
      <c r="A72" s="3" t="s">
        <v>67</v>
      </c>
      <c r="B72" s="3" t="s">
        <v>62</v>
      </c>
      <c r="C72" s="3" t="s">
        <v>38</v>
      </c>
      <c r="D72" s="3">
        <v>4</v>
      </c>
      <c r="E72" s="4" t="str">
        <f>TEXT(O72,"0.000")&amp;"
("&amp;TEXT(AA72,"0.000")&amp;")"</f>
        <v>0.195
(0.494)</v>
      </c>
      <c r="F72" s="4" t="str">
        <f>TEXT(P72,"0.000")&amp;"
("&amp;TEXT(AB72,"0.000")&amp;")"</f>
        <v>0.424
(0.318)</v>
      </c>
      <c r="G72" s="5">
        <f>SQRT(Q72)</f>
        <v>0.52915026221291817</v>
      </c>
      <c r="H72" s="5">
        <f>+V72</f>
        <v>0.30299999999999999</v>
      </c>
      <c r="I72" s="5">
        <f>+W72</f>
        <v>0.91500000000000004</v>
      </c>
      <c r="J72" s="5">
        <f>+X72</f>
        <v>2.484</v>
      </c>
      <c r="K72" s="4" t="str">
        <f>TEXT(R72,"0.000")&amp;"
("&amp;TEXT(AD72,"0.000")&amp;")"</f>
        <v>0.045
(0.108)</v>
      </c>
      <c r="L72" s="4" t="str">
        <f>TEXT(S72,"0.000")&amp;"
("&amp;TEXT(AE72,"0.000")&amp;")"</f>
        <v>0.093
(0.070)</v>
      </c>
      <c r="M72" s="3"/>
      <c r="N72" s="3"/>
      <c r="O72" s="3">
        <v>0.19500000000000001</v>
      </c>
      <c r="P72" s="3">
        <v>0.42399999999999999</v>
      </c>
      <c r="Q72" s="3">
        <v>0.28000000000000003</v>
      </c>
      <c r="R72" s="3">
        <v>4.4999999999999998E-2</v>
      </c>
      <c r="S72" s="3">
        <v>9.2999999999999999E-2</v>
      </c>
      <c r="T72" s="3">
        <v>1.4E-2</v>
      </c>
      <c r="U72" s="3">
        <v>5.8999999999999997E-2</v>
      </c>
      <c r="V72" s="3">
        <v>0.30299999999999999</v>
      </c>
      <c r="W72" s="3">
        <v>0.91500000000000004</v>
      </c>
      <c r="X72" s="3">
        <v>2.484</v>
      </c>
      <c r="Y72" s="3">
        <v>0.83499999999999996</v>
      </c>
      <c r="Z72" s="3">
        <v>0.78600000000000003</v>
      </c>
      <c r="AA72" s="3">
        <v>0.49399999999999999</v>
      </c>
      <c r="AB72" s="3">
        <v>0.318</v>
      </c>
      <c r="AC72" s="3">
        <v>0.375</v>
      </c>
      <c r="AD72" s="3">
        <v>0.108</v>
      </c>
      <c r="AE72" s="3">
        <v>7.0000000000000007E-2</v>
      </c>
      <c r="AF72" s="3">
        <v>1.9E-2</v>
      </c>
      <c r="AG72" s="3">
        <v>7.6999999999999999E-2</v>
      </c>
      <c r="AH72" s="3">
        <v>0.218</v>
      </c>
      <c r="AI72" s="3">
        <v>0.28000000000000003</v>
      </c>
      <c r="AJ72" s="3">
        <v>2.1589999999999998</v>
      </c>
      <c r="AK72" s="3">
        <v>8.3000000000000004E-2</v>
      </c>
      <c r="AL72" s="3">
        <v>5.5E-2</v>
      </c>
      <c r="AM72" s="3">
        <v>0.53</v>
      </c>
      <c r="AN72" s="3">
        <v>0.11600000000000001</v>
      </c>
    </row>
    <row r="73" spans="1:40" ht="30" x14ac:dyDescent="0.2">
      <c r="A73" s="3" t="s">
        <v>67</v>
      </c>
      <c r="B73" s="3" t="s">
        <v>62</v>
      </c>
      <c r="C73" s="3" t="s">
        <v>39</v>
      </c>
      <c r="D73" s="3">
        <v>4</v>
      </c>
      <c r="E73" s="4" t="str">
        <f>TEXT(O73,"0.000")&amp;"
("&amp;TEXT(AA73,"0.000")&amp;")"</f>
        <v>−0.148
(0.452)</v>
      </c>
      <c r="F73" s="4" t="str">
        <f>TEXT(P73,"0.000")&amp;"
("&amp;TEXT(AB73,"0.000")&amp;")"</f>
        <v>0.372
(0.296)</v>
      </c>
      <c r="G73" s="5">
        <f>SQRT(Q73)</f>
        <v>0.47434164902525688</v>
      </c>
      <c r="H73" s="5">
        <f>+V73</f>
        <v>0.26700000000000002</v>
      </c>
      <c r="I73" s="5">
        <f>+W73</f>
        <v>0.93500000000000005</v>
      </c>
      <c r="J73" s="5">
        <f>+X73</f>
        <v>2.3149999999999999</v>
      </c>
      <c r="K73" s="4" t="str">
        <f>TEXT(R73,"0.000")&amp;"
("&amp;TEXT(AD73,"0.000")&amp;")"</f>
        <v>−0.027
(0.091)</v>
      </c>
      <c r="L73" s="4" t="str">
        <f>TEXT(S73,"0.000")&amp;"
("&amp;TEXT(AE73,"0.000")&amp;")"</f>
        <v>0.075
(0.059)</v>
      </c>
      <c r="M73" s="3"/>
      <c r="N73" s="3"/>
      <c r="O73" s="3" t="s">
        <v>87</v>
      </c>
      <c r="P73" s="3">
        <v>0.372</v>
      </c>
      <c r="Q73" s="3">
        <v>0.22500000000000001</v>
      </c>
      <c r="R73" s="3" t="s">
        <v>64</v>
      </c>
      <c r="S73" s="3">
        <v>7.4999999999999997E-2</v>
      </c>
      <c r="T73" s="3">
        <v>8.9999999999999993E-3</v>
      </c>
      <c r="U73" s="3">
        <v>4.5999999999999999E-2</v>
      </c>
      <c r="V73" s="3">
        <v>0.26700000000000002</v>
      </c>
      <c r="W73" s="3">
        <v>0.93500000000000005</v>
      </c>
      <c r="X73" s="3">
        <v>2.3149999999999999</v>
      </c>
      <c r="Y73" s="3">
        <v>0.83599999999999997</v>
      </c>
      <c r="Z73" s="3">
        <v>0.77500000000000002</v>
      </c>
      <c r="AA73" s="3">
        <v>0.45200000000000001</v>
      </c>
      <c r="AB73" s="3">
        <v>0.29599999999999999</v>
      </c>
      <c r="AC73" s="3">
        <v>0.314</v>
      </c>
      <c r="AD73" s="3">
        <v>9.0999999999999998E-2</v>
      </c>
      <c r="AE73" s="3">
        <v>5.8999999999999997E-2</v>
      </c>
      <c r="AF73" s="3">
        <v>1.2E-2</v>
      </c>
      <c r="AG73" s="3">
        <v>6.3E-2</v>
      </c>
      <c r="AH73" s="3">
        <v>0.188</v>
      </c>
      <c r="AI73" s="3">
        <v>0.247</v>
      </c>
      <c r="AJ73" s="3">
        <v>2.456</v>
      </c>
      <c r="AK73" s="3">
        <v>0.09</v>
      </c>
      <c r="AL73" s="3">
        <v>5.7000000000000002E-2</v>
      </c>
      <c r="AM73" s="3">
        <v>0.47499999999999998</v>
      </c>
      <c r="AN73" s="3">
        <v>9.5000000000000001E-2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performance_table_avg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Godoy Garraza</cp:lastModifiedBy>
  <dcterms:created xsi:type="dcterms:W3CDTF">2026-02-18T12:29:44Z</dcterms:created>
  <dcterms:modified xsi:type="dcterms:W3CDTF">2026-02-18T12:29:44Z</dcterms:modified>
</cp:coreProperties>
</file>